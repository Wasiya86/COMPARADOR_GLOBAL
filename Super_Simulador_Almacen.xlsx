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SIMULADOR\"/>
    </mc:Choice>
  </mc:AlternateContent>
  <xr:revisionPtr revIDLastSave="0" documentId="13_ncr:1_{8AF500A7-6DD5-4D42-94E5-2260C460408C}" xr6:coauthVersionLast="47" xr6:coauthVersionMax="47" xr10:uidLastSave="{00000000-0000-0000-0000-000000000000}"/>
  <bookViews>
    <workbookView xWindow="-120" yWindow="-120" windowWidth="29040" windowHeight="15840" tabRatio="646" activeTab="4" xr2:uid="{00000000-000D-0000-FFFF-FFFF00000000}"/>
  </bookViews>
  <sheets>
    <sheet name="Simulador Península" sheetId="1" r:id="rId1"/>
    <sheet name="Simulador Canarias" sheetId="8" r:id="rId2"/>
    <sheet name="Zonas_Logistica" sheetId="2" r:id="rId3"/>
    <sheet name="Tarifas_CBL" sheetId="3" r:id="rId4"/>
    <sheet name="Tarifas_DHL" sheetId="4" r:id="rId5"/>
    <sheet name="Tarifas_TIPSA" sheetId="5" r:id="rId6"/>
    <sheet name="Tarifas_CBL_Canarias" sheetId="6" r:id="rId7"/>
    <sheet name="Tarifas_DHL_Canaria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8" l="1"/>
  <c r="C15" i="8"/>
  <c r="E14" i="8"/>
  <c r="C14" i="8"/>
  <c r="E13" i="8"/>
  <c r="C13" i="8"/>
  <c r="F8" i="8"/>
  <c r="C8" i="8"/>
  <c r="C14" i="1"/>
  <c r="D14" i="1" s="1"/>
  <c r="C13" i="1"/>
  <c r="D13" i="1" s="1"/>
  <c r="C12" i="1"/>
  <c r="D12" i="1" s="1"/>
  <c r="C7" i="1"/>
  <c r="E12" i="1" l="1"/>
  <c r="F12" i="1" s="1"/>
  <c r="E13" i="1"/>
  <c r="F13" i="1" s="1"/>
  <c r="E14" i="1"/>
  <c r="F14" i="1" s="1"/>
  <c r="D13" i="8"/>
  <c r="F13" i="8" s="1"/>
  <c r="D14" i="8"/>
  <c r="F14" i="8" s="1"/>
  <c r="D15" i="8"/>
  <c r="F15" i="8" s="1"/>
</calcChain>
</file>

<file path=xl/sharedStrings.xml><?xml version="1.0" encoding="utf-8"?>
<sst xmlns="http://schemas.openxmlformats.org/spreadsheetml/2006/main" count="238" uniqueCount="166">
  <si>
    <t>SIMULADOR UNIFICADO - PENÍNSULA Y BALEARES</t>
  </si>
  <si>
    <t>1. DATOS DE ENTRADA</t>
  </si>
  <si>
    <t>Peso Real (kg):</t>
  </si>
  <si>
    <t>Código Postal (CP):</t>
  </si>
  <si>
    <t>Provincia:</t>
  </si>
  <si>
    <t>2. COMPARATIVA DE COSTES (CON RECARGOS INCLUIDOS)</t>
  </si>
  <si>
    <t>Agencia</t>
  </si>
  <si>
    <t>Zona Asignada</t>
  </si>
  <si>
    <t>Tarifa Base (€)</t>
  </si>
  <si>
    <t>Recargos Ocultos (€)</t>
  </si>
  <si>
    <t>COSTE TOTAL (€)</t>
  </si>
  <si>
    <t>CBL Logística</t>
  </si>
  <si>
    <t>DHL Parcel</t>
  </si>
  <si>
    <t>TIPSA Economy</t>
  </si>
  <si>
    <t>Prefijo CP</t>
  </si>
  <si>
    <t>Provincia</t>
  </si>
  <si>
    <t>Zona CBL</t>
  </si>
  <si>
    <t>Zona DHL</t>
  </si>
  <si>
    <t>Zona TIPSA</t>
  </si>
  <si>
    <t>01</t>
  </si>
  <si>
    <t>Álava</t>
  </si>
  <si>
    <t>Peninsular</t>
  </si>
  <si>
    <t>02</t>
  </si>
  <si>
    <t>Albacete</t>
  </si>
  <si>
    <t>03</t>
  </si>
  <si>
    <t>Alicante</t>
  </si>
  <si>
    <t>04</t>
  </si>
  <si>
    <t>Almería</t>
  </si>
  <si>
    <t>05</t>
  </si>
  <si>
    <t>Ávila</t>
  </si>
  <si>
    <t>06</t>
  </si>
  <si>
    <t>Badajoz</t>
  </si>
  <si>
    <t>07</t>
  </si>
  <si>
    <t>Baleares</t>
  </si>
  <si>
    <t>No Ofertado</t>
  </si>
  <si>
    <t>08</t>
  </si>
  <si>
    <t>Barcelona</t>
  </si>
  <si>
    <t>09</t>
  </si>
  <si>
    <t>Burgos</t>
  </si>
  <si>
    <t>10</t>
  </si>
  <si>
    <t>Cáceres</t>
  </si>
  <si>
    <t>11</t>
  </si>
  <si>
    <t>Cádiz</t>
  </si>
  <si>
    <t>12</t>
  </si>
  <si>
    <t>Castellón</t>
  </si>
  <si>
    <t>13</t>
  </si>
  <si>
    <t>Ciudad Real</t>
  </si>
  <si>
    <t>14</t>
  </si>
  <si>
    <t>Córdoba</t>
  </si>
  <si>
    <t>15</t>
  </si>
  <si>
    <t>A Coruña</t>
  </si>
  <si>
    <t>16</t>
  </si>
  <si>
    <t>Cuenca</t>
  </si>
  <si>
    <t>17</t>
  </si>
  <si>
    <t>Girona</t>
  </si>
  <si>
    <t>18</t>
  </si>
  <si>
    <t>Granada</t>
  </si>
  <si>
    <t>19</t>
  </si>
  <si>
    <t>Guadalajara</t>
  </si>
  <si>
    <t>20</t>
  </si>
  <si>
    <t>Gipuzkoa</t>
  </si>
  <si>
    <t>21</t>
  </si>
  <si>
    <t>Huelva</t>
  </si>
  <si>
    <t>22</t>
  </si>
  <si>
    <t>Huesca</t>
  </si>
  <si>
    <t>23</t>
  </si>
  <si>
    <t>Jaén</t>
  </si>
  <si>
    <t>24</t>
  </si>
  <si>
    <t>León</t>
  </si>
  <si>
    <t>25</t>
  </si>
  <si>
    <t>Lérida</t>
  </si>
  <si>
    <t>26</t>
  </si>
  <si>
    <t>La Rioja</t>
  </si>
  <si>
    <t>27</t>
  </si>
  <si>
    <t>Lugo</t>
  </si>
  <si>
    <t>28</t>
  </si>
  <si>
    <t>Madrid</t>
  </si>
  <si>
    <t>Regional</t>
  </si>
  <si>
    <t>29</t>
  </si>
  <si>
    <t>Málaga</t>
  </si>
  <si>
    <t>30</t>
  </si>
  <si>
    <t>Murcia</t>
  </si>
  <si>
    <t>31</t>
  </si>
  <si>
    <t>Navarra</t>
  </si>
  <si>
    <t>32</t>
  </si>
  <si>
    <t>Ourense</t>
  </si>
  <si>
    <t>33</t>
  </si>
  <si>
    <t>Asturias</t>
  </si>
  <si>
    <t>34</t>
  </si>
  <si>
    <t>Palencia</t>
  </si>
  <si>
    <t>35</t>
  </si>
  <si>
    <t>Las Palmas</t>
  </si>
  <si>
    <t>Canarias</t>
  </si>
  <si>
    <t>36</t>
  </si>
  <si>
    <t>Pontevedra</t>
  </si>
  <si>
    <t>37</t>
  </si>
  <si>
    <t>Salamanca</t>
  </si>
  <si>
    <t>38</t>
  </si>
  <si>
    <t>S.C.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</si>
  <si>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</si>
  <si>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</si>
  <si>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</si>
  <si>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</si>
  <si>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</si>
  <si>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</si>
  <si>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</si>
  <si>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</si>
  <si>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</si>
  <si>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</si>
  <si>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</si>
  <si>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</si>
  <si>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</si>
  <si>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</si>
  <si>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</si>
  <si>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</t>
  </si>
  <si>
    <t>47</t>
  </si>
  <si>
    <t>Valladolid</t>
  </si>
  <si>
    <t>48</t>
  </si>
  <si>
    <t>Bizkaia</t>
  </si>
  <si>
    <t>49</t>
  </si>
  <si>
    <t>Zamora</t>
  </si>
  <si>
    <t>50</t>
  </si>
  <si>
    <t>Zaragoza</t>
  </si>
  <si>
    <t>51</t>
  </si>
  <si>
    <t>Ceuta</t>
  </si>
  <si>
    <t>Especial</t>
  </si>
  <si>
    <t>52</t>
  </si>
  <si>
    <t>Melilla</t>
  </si>
  <si>
    <t>Hasta Kg</t>
  </si>
  <si>
    <t>Zona 1</t>
  </si>
  <si>
    <t>Zona 2</t>
  </si>
  <si>
    <t>Zona 3</t>
  </si>
  <si>
    <t>Zona 4</t>
  </si>
  <si>
    <t>Zona 5</t>
  </si>
  <si>
    <t>Zona 6</t>
  </si>
  <si>
    <t>Zona 7</t>
  </si>
  <si>
    <t>Islas Mayores</t>
  </si>
  <si>
    <t>Islas Menores</t>
  </si>
  <si>
    <t>Marítimo (Base)</t>
  </si>
  <si>
    <t>Aéreo (Base)</t>
  </si>
  <si>
    <t>Reexp. Pueblo</t>
  </si>
  <si>
    <t>Reexp. Interislas</t>
  </si>
  <si>
    <t>SIMULADOR ESPECIAL CANARIAS (DUA + PORTES)</t>
  </si>
  <si>
    <t>PARÁMETROS DE ADUANA (DUA)</t>
  </si>
  <si>
    <t>DUA exportación CBL (€):</t>
  </si>
  <si>
    <t>Fijo según contrato</t>
  </si>
  <si>
    <t>Código Postal Destino:</t>
  </si>
  <si>
    <t>38001</t>
  </si>
  <si>
    <t>DUA DHL Bajo Valor (S/N):</t>
  </si>
  <si>
    <t>N</t>
  </si>
  <si>
    <t>S = 5€, N = 23.50€</t>
  </si>
  <si>
    <t>Tipo de Isla (CBL):</t>
  </si>
  <si>
    <t>Reexpedición (DHL):</t>
  </si>
  <si>
    <t>2. COMPARATIVA DE COSTES (PORTES + RECARGOS + DUA)</t>
  </si>
  <si>
    <t>Agencia / Servicio</t>
  </si>
  <si>
    <t>Coste Porte Base (€)</t>
  </si>
  <si>
    <t>Gasto Aduana DUA (€)</t>
  </si>
  <si>
    <t>CBL Logística (Marítimo)</t>
  </si>
  <si>
    <t>DHL Parcel (Marítimo)</t>
  </si>
  <si>
    <t>DHL Parcel (Aéreo)</t>
  </si>
  <si>
    <t>Sin datos en contrato</t>
  </si>
  <si>
    <t>-</t>
  </si>
  <si>
    <t>N/A</t>
  </si>
  <si>
    <t>28080</t>
  </si>
  <si>
    <t>Zona 0 (1)</t>
  </si>
  <si>
    <t>Zona 6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</si>
</sst>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E1F2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1" fillId="4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1" fillId="2" borderId="0" xfId="0" applyFont="1" applyFill="1"/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/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sz val="11"/>
        <color rgb="FF006100"/>
        <name val="Calibri"/>
      </font>
      <fill>
        <patternFill patternType="solid">
          <fgColor rgb="FFC6E0B4"/>
          <bgColor rgb="FFC6E0B4"/>
        </patternFill>
      </fill>
    </dxf>
    <dxf>
      <font>
        <b/>
        <sz val="11"/>
        <color rgb="FF006100"/>
        <name val="Calibri"/>
      </font>
      <fill>
        <patternFill patternType="solid">
          <fgColor rgb="FFC6E0B4"/>
          <b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showGridLines="0" workbookViewId="0">
      <selection activeCell="D8" sqref="D8"/>
    </sheetView>
  </sheetViews>
  <sheetFormatPr baseColWidth="10" defaultColWidth="9.140625" defaultRowHeight="15" x14ac:dyDescent="0.25"/>
  <cols>
    <col min="1" max="1" width="15" customWidth="1"/>
    <col min="2" max="6" width="24" customWidth="1"/>
  </cols>
  <sheetData>
    <row r="2" spans="2:6" ht="18.75" x14ac:dyDescent="0.25">
      <c r="B2" s="12" t="s">
        <v>0</v>
      </c>
      <c r="C2" s="13"/>
      <c r="D2" s="13"/>
      <c r="E2" s="13"/>
      <c r="F2" s="13"/>
    </row>
    <row r="4" spans="2:6" x14ac:dyDescent="0.25">
      <c r="B4" s="14" t="s">
        <v>1</v>
      </c>
      <c r="C4" s="13"/>
    </row>
    <row r="5" spans="2:6" x14ac:dyDescent="0.25">
      <c r="B5" s="1" t="s">
        <v>2</v>
      </c>
      <c r="C5" s="2">
        <v>32</v>
      </c>
    </row>
    <row r="6" spans="2:6" x14ac:dyDescent="0.25">
      <c r="B6" s="1" t="s">
        <v>3</v>
      </c>
      <c r="C6" s="3" t="s">
        <v>163</v>
      </c>
    </row>
    <row r="7" spans="2:6" x14ac:dyDescent="0.25">
      <c r="B7" s="4" t="s">
        <v>4</v>
      </c>
      <c r="C7" s="2" t="str">
        <f>IFERROR(VLOOKUP(LEFT(C6,2), Zonas_Logistica!A:E, 2, FALSE), "CP Inválido")</f>
        <v>Madrid</v>
      </c>
    </row>
    <row r="10" spans="2:6" x14ac:dyDescent="0.25">
      <c r="B10" s="14" t="s">
        <v>5</v>
      </c>
      <c r="C10" s="13"/>
      <c r="D10" s="13"/>
      <c r="E10" s="13"/>
      <c r="F10" s="13"/>
    </row>
    <row r="11" spans="2:6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</row>
    <row r="12" spans="2:6" x14ac:dyDescent="0.25">
      <c r="B12" s="2" t="s">
        <v>11</v>
      </c>
      <c r="C12" s="2">
        <f>IFERROR(VLOOKUP(LEFT(C6,2), Zonas_Logistica!A:E, 3, FALSE), "-")</f>
        <v>1</v>
      </c>
      <c r="D12" s="6">
        <f>IF(OR(C12="Canarias", C12="Especial"), "Ver Simulador Canarias", IFERROR(INDEX(Tarifas_CBL!B$2:G$26, MATCH(C$5, Tarifas_CBL!A$2:A$26, 1) + IF(ISNUMBER(MATCH(C$5, Tarifas_CBL!A$2:A$26, 0)), 0, 1), MATCH("Zona "&amp;C12, Tarifas_CBL!B$1:G$1, 0)), 0))</f>
        <v>8.85</v>
      </c>
      <c r="E12" s="6">
        <f>IF(ISNUMBER(D12), D12*0.1 + D12*0.08 + 0.5, 0)</f>
        <v>2.093</v>
      </c>
      <c r="F12" s="7">
        <f>IF(ISNUMBER(D12), D12+E12, "N/A")</f>
        <v>10.943</v>
      </c>
    </row>
    <row r="13" spans="2:6" x14ac:dyDescent="0.25">
      <c r="B13" s="2" t="s">
        <v>12</v>
      </c>
      <c r="C13" s="2">
        <f>IFERROR(VLOOKUP(LEFT(C6,2), Zonas_Logistica!A:E, 4, FALSE), "-")</f>
        <v>1</v>
      </c>
      <c r="D13" s="6">
        <f>IF(OR(C13="Canarias", C13="Especial"), "Ver Simulador Canarias", IFERROR(INDEX(Tarifas_DHL!B$2:I$23, MATCH(C$5, Tarifas_DHL!A$2:A$23, 1) + IF(ISNUMBER(MATCH(C$5, Tarifas_DHL!A$2:A$23, 0)), 0, 1), MATCH("Zona "&amp;C13, Tarifas_DHL!B$1:I$1, 0)), 0))</f>
        <v>6.07</v>
      </c>
      <c r="E13" s="6">
        <f>IF(ISNUMBER(D13), D13*0.1015, 0)</f>
        <v>0.61610500000000012</v>
      </c>
      <c r="F13" s="7">
        <f>IF(ISNUMBER(D13), D13+E13, "N/A")</f>
        <v>6.6861050000000004</v>
      </c>
    </row>
    <row r="14" spans="2:6" x14ac:dyDescent="0.25">
      <c r="B14" s="2" t="s">
        <v>13</v>
      </c>
      <c r="C14" s="2" t="str">
        <f>IFERROR(VLOOKUP(LEFT(C6,2), Zonas_Logistica!A:E, 5, FALSE), "-")</f>
        <v>Regional</v>
      </c>
      <c r="D14" s="6">
        <f>IF(C14="No Ofertado", "No Ofertado", IFERROR(INDEX(Tarifas_TIPSA!B$2:C$11, MATCH(C$5, Tarifas_TIPSA!A$2:A$11, 1) + IF(ISNUMBER(MATCH(C$5, Tarifas_TIPSA!A$2:A$11, 0)), 0, 1), MATCH(C14, Tarifas_TIPSA!B$1:C$1, 0)), "Fuera de Rango (&gt;50kg)"))</f>
        <v>9.26</v>
      </c>
      <c r="E14" s="6">
        <f>IF(ISNUMBER(D14), D14*0.103, 0)</f>
        <v>0.95377999999999996</v>
      </c>
      <c r="F14" s="7">
        <f>IF(ISNUMBER(D14), D14+E14, "N/A")</f>
        <v>10.21378</v>
      </c>
    </row>
  </sheetData>
  <mergeCells count="3">
    <mergeCell ref="B2:F2"/>
    <mergeCell ref="B10:F10"/>
    <mergeCell ref="B4:C4"/>
  </mergeCells>
  <conditionalFormatting sqref="B12:F14">
    <cfRule type="expression" dxfId="1" priority="1" stopIfTrue="1">
      <formula>AND(ISNUMBER($F12), $F12=MIN(IF(ISNUMBER($F$12:$F$14),$F$12:$F$14)))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6"/>
  <sheetViews>
    <sheetView showGridLines="0" workbookViewId="0"/>
  </sheetViews>
  <sheetFormatPr baseColWidth="10" defaultColWidth="9.140625" defaultRowHeight="15" x14ac:dyDescent="0.25"/>
  <cols>
    <col min="1" max="1" width="15" customWidth="1"/>
    <col min="2" max="6" width="24" customWidth="1"/>
    <col min="7" max="7" width="22" customWidth="1"/>
  </cols>
  <sheetData>
    <row r="2" spans="2:7" ht="18.75" x14ac:dyDescent="0.25">
      <c r="B2" s="12" t="s">
        <v>142</v>
      </c>
      <c r="C2" s="13"/>
      <c r="D2" s="13"/>
      <c r="E2" s="13"/>
      <c r="F2" s="13"/>
    </row>
    <row r="4" spans="2:7" x14ac:dyDescent="0.25">
      <c r="B4" s="14" t="s">
        <v>1</v>
      </c>
      <c r="C4" s="13"/>
      <c r="E4" s="14" t="s">
        <v>143</v>
      </c>
      <c r="F4" s="13"/>
    </row>
    <row r="5" spans="2:7" x14ac:dyDescent="0.25">
      <c r="B5" s="1" t="s">
        <v>2</v>
      </c>
      <c r="C5" s="2">
        <v>45</v>
      </c>
      <c r="E5" s="4" t="s">
        <v>144</v>
      </c>
      <c r="F5" s="9">
        <v>22</v>
      </c>
      <c r="G5" t="s">
        <v>145</v>
      </c>
    </row>
    <row r="6" spans="2:7" x14ac:dyDescent="0.25">
      <c r="B6" s="1" t="s">
        <v>146</v>
      </c>
      <c r="C6" s="3" t="s">
        <v>147</v>
      </c>
      <c r="E6" s="4" t="s">
        <v>148</v>
      </c>
      <c r="F6" s="2" t="s">
        <v>149</v>
      </c>
      <c r="G6" t="s">
        <v>150</v>
      </c>
    </row>
    <row r="8" spans="2:7" x14ac:dyDescent="0.25">
      <c r="B8" s="4" t="s">
        <v>151</v>
      </c>
      <c r="C8" s="10" t="str">
        <f>IF(OR(AND(VALUE(C6)&gt;=35000, VALUE(C6)&lt;=35499), AND(VALUE(C6)&gt;=38000, VALUE(C6)&lt;=38699)), "Islas Mayores", "Islas Menores")</f>
        <v>Islas Mayores</v>
      </c>
      <c r="E8" s="4" t="s">
        <v>152</v>
      </c>
      <c r="F8" s="10" t="str">
        <f>IF(OR(AND(VALUE(C6)&gt;=38001, VALUE(C6)&lt;=38010), AND(VALUE(C6)&gt;=35001, VALUE(C6)&lt;=35018)), "Directa (Capital)", IF(OR(AND(VALUE(C6)&gt;=38100, VALUE(C6)&lt;=38699), AND(VALUE(C6)&gt;=35100, VALUE(C6)&lt;=35499)), "Pueblo", "Interislas"))</f>
        <v>Directa (Capital)</v>
      </c>
    </row>
    <row r="11" spans="2:7" x14ac:dyDescent="0.25">
      <c r="B11" s="14" t="s">
        <v>153</v>
      </c>
      <c r="C11" s="13"/>
      <c r="D11" s="13"/>
      <c r="E11" s="13"/>
      <c r="F11" s="13"/>
    </row>
    <row r="12" spans="2:7" x14ac:dyDescent="0.25">
      <c r="B12" s="5" t="s">
        <v>154</v>
      </c>
      <c r="C12" s="5" t="s">
        <v>155</v>
      </c>
      <c r="D12" s="5" t="s">
        <v>9</v>
      </c>
      <c r="E12" s="5" t="s">
        <v>156</v>
      </c>
      <c r="F12" s="5" t="s">
        <v>10</v>
      </c>
    </row>
    <row r="13" spans="2:7" x14ac:dyDescent="0.25">
      <c r="B13" s="2" t="s">
        <v>157</v>
      </c>
      <c r="C13" s="2">
        <f>IFERROR(INDEX(Tarifas_CBL_Canarias!B$2:C$27, MATCH(C$5, Tarifas_CBL_Canarias!A$2:A$27, 1) + IF(ISNUMBER(MATCH(C$5, Tarifas_CBL_Canarias!A$2:A$27, 0)), 0, 1), IF(C8="Islas Mayores", 1, 2)), 0)</f>
        <v>36.49</v>
      </c>
      <c r="D13" s="2">
        <f>C13*0.1 + C13*0.08 + 0.5</f>
        <v>7.0682000000000009</v>
      </c>
      <c r="E13" s="2">
        <f>F5</f>
        <v>22</v>
      </c>
      <c r="F13" s="11">
        <f>C13+D13+E13</f>
        <v>65.558199999999999</v>
      </c>
    </row>
    <row r="14" spans="2:7" x14ac:dyDescent="0.25">
      <c r="B14" s="2" t="s">
        <v>158</v>
      </c>
      <c r="C14" s="2">
        <f>IFERROR(INDEX(Tarifas_DHL_Canarias!B$2:B$22, MATCH(C$5, Tarifas_DHL_Canarias!A$2:A$22, 1) + IF(ISNUMBER(MATCH(C$5, Tarifas_DHL_Canarias!A$2:A$22, 0)), 0, 1)), 0) + IF(F8="Pueblo", IFERROR(INDEX(Tarifas_DHL_Canarias!D$2:D$22, MATCH(C$5, Tarifas_DHL_Canarias!A$2:A$22, 1) + IF(ISNUMBER(MATCH(C$5, Tarifas_DHL_Canarias!A$2:A$22, 0)), 0, 1)), 0), IF(F8="Interislas", IFERROR(INDEX(Tarifas_DHL_Canarias!E$2:E$22, MATCH(C$5, Tarifas_DHL_Canarias!A$2:A$22, 1) + IF(ISNUMBER(MATCH(C$5, Tarifas_DHL_Canarias!A$2:A$22, 0)), 0, 1)), 0), 0))</f>
        <v>141.19</v>
      </c>
      <c r="D14" s="2">
        <f>C14*0.1015</f>
        <v>14.330785000000001</v>
      </c>
      <c r="E14" s="2">
        <f>IF(UPPER(F6)="S", 5, 23.5)</f>
        <v>23.5</v>
      </c>
      <c r="F14" s="11">
        <f>C14+D14+E14</f>
        <v>179.02078499999999</v>
      </c>
    </row>
    <row r="15" spans="2:7" x14ac:dyDescent="0.25">
      <c r="B15" s="2" t="s">
        <v>159</v>
      </c>
      <c r="C15" s="2">
        <f>IFERROR(INDEX(Tarifas_DHL_Canarias!C$2:C$22, MATCH(C$5, Tarifas_DHL_Canarias!A$2:A$22, 1) + IF(ISNUMBER(MATCH(C$5, Tarifas_DHL_Canarias!A$2:A$22, 0)), 0, 1)), 0) + IF(F8="Pueblo", IFERROR(INDEX(Tarifas_DHL_Canarias!D$2:D$22, MATCH(C$5, Tarifas_DHL_Canarias!A$2:A$22, 1) + IF(ISNUMBER(MATCH(C$5, Tarifas_DHL_Canarias!A$2:A$22, 0)), 0, 1)), 0), IF(F8="Interislas", IFERROR(INDEX(Tarifas_DHL_Canarias!E$2:E$22, MATCH(C$5, Tarifas_DHL_Canarias!A$2:A$22, 1) + IF(ISNUMBER(MATCH(C$5, Tarifas_DHL_Canarias!A$2:A$22, 0)), 0, 1)), 0), 0))</f>
        <v>331.94</v>
      </c>
      <c r="D15" s="2">
        <f>C15*0.1015</f>
        <v>33.69191</v>
      </c>
      <c r="E15" s="2">
        <f>IF(UPPER(F6)="S", 5, 23.5)</f>
        <v>23.5</v>
      </c>
      <c r="F15" s="11">
        <f>C15+D15+E15</f>
        <v>389.13191</v>
      </c>
    </row>
    <row r="16" spans="2:7" x14ac:dyDescent="0.25">
      <c r="B16" s="2" t="s">
        <v>13</v>
      </c>
      <c r="C16" s="2" t="s">
        <v>160</v>
      </c>
      <c r="D16" s="2" t="s">
        <v>161</v>
      </c>
      <c r="E16" s="9">
        <v>30</v>
      </c>
      <c r="F16" s="11" t="s">
        <v>162</v>
      </c>
    </row>
  </sheetData>
  <mergeCells count="4">
    <mergeCell ref="B2:F2"/>
    <mergeCell ref="E4:F4"/>
    <mergeCell ref="B4:C4"/>
    <mergeCell ref="B11:F11"/>
  </mergeCells>
  <conditionalFormatting sqref="B13:F15">
    <cfRule type="expression" dxfId="0" priority="1" stopIfTrue="1">
      <formula>AND(ISNUMBER($F13), $F13=MIN(IF(ISNUMBER($F$13:$F$15),$F$13:$F$15)))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workbookViewId="0"/>
  </sheetViews>
  <sheetFormatPr baseColWidth="10" defaultColWidth="9.140625" defaultRowHeight="15" x14ac:dyDescent="0.25"/>
  <cols>
    <col min="1" max="1" width="15" customWidth="1"/>
    <col min="2" max="2" width="16" customWidth="1"/>
    <col min="3" max="5" width="15" customWidth="1"/>
  </cols>
  <sheetData>
    <row r="1" spans="1:5" x14ac:dyDescent="0.25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</row>
    <row r="2" spans="1:5" x14ac:dyDescent="0.25">
      <c r="A2" t="s">
        <v>19</v>
      </c>
      <c r="B2" t="s">
        <v>20</v>
      </c>
      <c r="C2">
        <v>3</v>
      </c>
      <c r="D2">
        <v>4</v>
      </c>
      <c r="E2" t="s">
        <v>21</v>
      </c>
    </row>
    <row r="3" spans="1:5" x14ac:dyDescent="0.25">
      <c r="A3" t="s">
        <v>22</v>
      </c>
      <c r="B3" t="s">
        <v>23</v>
      </c>
      <c r="C3">
        <v>2</v>
      </c>
      <c r="D3">
        <v>3</v>
      </c>
      <c r="E3" t="s">
        <v>21</v>
      </c>
    </row>
    <row r="4" spans="1:5" x14ac:dyDescent="0.25">
      <c r="A4" t="s">
        <v>24</v>
      </c>
      <c r="B4" t="s">
        <v>25</v>
      </c>
      <c r="C4">
        <v>3</v>
      </c>
      <c r="D4">
        <v>3</v>
      </c>
      <c r="E4" t="s">
        <v>21</v>
      </c>
    </row>
    <row r="5" spans="1:5" x14ac:dyDescent="0.25">
      <c r="A5" t="s">
        <v>26</v>
      </c>
      <c r="B5" t="s">
        <v>27</v>
      </c>
      <c r="C5">
        <v>4</v>
      </c>
      <c r="D5">
        <v>5</v>
      </c>
      <c r="E5" t="s">
        <v>21</v>
      </c>
    </row>
    <row r="6" spans="1:5" x14ac:dyDescent="0.25">
      <c r="A6" t="s">
        <v>28</v>
      </c>
      <c r="B6" t="s">
        <v>29</v>
      </c>
      <c r="C6">
        <v>2</v>
      </c>
      <c r="D6">
        <v>2</v>
      </c>
      <c r="E6" t="s">
        <v>21</v>
      </c>
    </row>
    <row r="7" spans="1:5" x14ac:dyDescent="0.25">
      <c r="A7" t="s">
        <v>30</v>
      </c>
      <c r="B7" t="s">
        <v>31</v>
      </c>
      <c r="C7">
        <v>3</v>
      </c>
      <c r="D7">
        <v>3</v>
      </c>
      <c r="E7" t="s">
        <v>21</v>
      </c>
    </row>
    <row r="8" spans="1:5" x14ac:dyDescent="0.25">
      <c r="A8" t="s">
        <v>32</v>
      </c>
      <c r="B8" t="s">
        <v>33</v>
      </c>
      <c r="C8">
        <v>6</v>
      </c>
      <c r="D8">
        <v>7</v>
      </c>
      <c r="E8" t="s">
        <v>34</v>
      </c>
    </row>
    <row r="9" spans="1:5" x14ac:dyDescent="0.25">
      <c r="A9" t="s">
        <v>35</v>
      </c>
      <c r="B9" t="s">
        <v>36</v>
      </c>
      <c r="C9">
        <v>4</v>
      </c>
      <c r="D9">
        <v>4</v>
      </c>
      <c r="E9" t="s">
        <v>21</v>
      </c>
    </row>
    <row r="10" spans="1:5" x14ac:dyDescent="0.25">
      <c r="A10" t="s">
        <v>37</v>
      </c>
      <c r="B10" t="s">
        <v>38</v>
      </c>
      <c r="C10">
        <v>2</v>
      </c>
      <c r="D10">
        <v>3</v>
      </c>
      <c r="E10" t="s">
        <v>21</v>
      </c>
    </row>
    <row r="11" spans="1:5" x14ac:dyDescent="0.25">
      <c r="A11" t="s">
        <v>39</v>
      </c>
      <c r="B11" t="s">
        <v>40</v>
      </c>
      <c r="C11">
        <v>3</v>
      </c>
      <c r="D11">
        <v>3</v>
      </c>
      <c r="E11" t="s">
        <v>21</v>
      </c>
    </row>
    <row r="12" spans="1:5" x14ac:dyDescent="0.25">
      <c r="A12" t="s">
        <v>41</v>
      </c>
      <c r="B12" t="s">
        <v>42</v>
      </c>
      <c r="C12">
        <v>5</v>
      </c>
      <c r="D12">
        <v>5</v>
      </c>
      <c r="E12" t="s">
        <v>21</v>
      </c>
    </row>
    <row r="13" spans="1:5" x14ac:dyDescent="0.25">
      <c r="A13" t="s">
        <v>43</v>
      </c>
      <c r="B13" t="s">
        <v>44</v>
      </c>
      <c r="C13">
        <v>3</v>
      </c>
      <c r="D13">
        <v>3</v>
      </c>
      <c r="E13" t="s">
        <v>21</v>
      </c>
    </row>
    <row r="14" spans="1:5" x14ac:dyDescent="0.25">
      <c r="A14" t="s">
        <v>45</v>
      </c>
      <c r="B14" t="s">
        <v>46</v>
      </c>
      <c r="C14">
        <v>3</v>
      </c>
      <c r="D14">
        <v>2</v>
      </c>
      <c r="E14" t="s">
        <v>21</v>
      </c>
    </row>
    <row r="15" spans="1:5" x14ac:dyDescent="0.25">
      <c r="A15" t="s">
        <v>47</v>
      </c>
      <c r="B15" t="s">
        <v>48</v>
      </c>
      <c r="C15">
        <v>3</v>
      </c>
      <c r="D15">
        <v>3</v>
      </c>
      <c r="E15" t="s">
        <v>21</v>
      </c>
    </row>
    <row r="16" spans="1:5" x14ac:dyDescent="0.25">
      <c r="A16" t="s">
        <v>49</v>
      </c>
      <c r="B16" t="s">
        <v>50</v>
      </c>
      <c r="C16">
        <v>5</v>
      </c>
      <c r="D16">
        <v>5</v>
      </c>
      <c r="E16" t="s">
        <v>21</v>
      </c>
    </row>
    <row r="17" spans="1:5" x14ac:dyDescent="0.25">
      <c r="A17" t="s">
        <v>51</v>
      </c>
      <c r="B17" t="s">
        <v>52</v>
      </c>
      <c r="C17">
        <v>3</v>
      </c>
      <c r="D17">
        <v>2</v>
      </c>
      <c r="E17" t="s">
        <v>21</v>
      </c>
    </row>
    <row r="18" spans="1:5" x14ac:dyDescent="0.25">
      <c r="A18" t="s">
        <v>53</v>
      </c>
      <c r="B18" t="s">
        <v>54</v>
      </c>
      <c r="C18">
        <v>5</v>
      </c>
      <c r="D18">
        <v>4</v>
      </c>
      <c r="E18" t="s">
        <v>21</v>
      </c>
    </row>
    <row r="19" spans="1:5" x14ac:dyDescent="0.25">
      <c r="A19" t="s">
        <v>55</v>
      </c>
      <c r="B19" t="s">
        <v>56</v>
      </c>
      <c r="C19">
        <v>3</v>
      </c>
      <c r="D19">
        <v>5</v>
      </c>
      <c r="E19" t="s">
        <v>21</v>
      </c>
    </row>
    <row r="20" spans="1:5" x14ac:dyDescent="0.25">
      <c r="A20" t="s">
        <v>57</v>
      </c>
      <c r="B20" t="s">
        <v>58</v>
      </c>
      <c r="C20">
        <v>2</v>
      </c>
      <c r="D20">
        <v>2</v>
      </c>
      <c r="E20" t="s">
        <v>21</v>
      </c>
    </row>
    <row r="21" spans="1:5" x14ac:dyDescent="0.25">
      <c r="A21" t="s">
        <v>59</v>
      </c>
      <c r="B21" t="s">
        <v>60</v>
      </c>
      <c r="C21">
        <v>4</v>
      </c>
      <c r="D21">
        <v>4</v>
      </c>
      <c r="E21" t="s">
        <v>21</v>
      </c>
    </row>
    <row r="22" spans="1:5" x14ac:dyDescent="0.25">
      <c r="A22" t="s">
        <v>61</v>
      </c>
      <c r="B22" t="s">
        <v>62</v>
      </c>
      <c r="C22">
        <v>5</v>
      </c>
      <c r="D22">
        <v>5</v>
      </c>
      <c r="E22" t="s">
        <v>21</v>
      </c>
    </row>
    <row r="23" spans="1:5" x14ac:dyDescent="0.25">
      <c r="A23" t="s">
        <v>63</v>
      </c>
      <c r="B23" t="s">
        <v>64</v>
      </c>
      <c r="C23">
        <v>4</v>
      </c>
      <c r="D23">
        <v>4</v>
      </c>
      <c r="E23" t="s">
        <v>21</v>
      </c>
    </row>
    <row r="24" spans="1:5" x14ac:dyDescent="0.25">
      <c r="A24" t="s">
        <v>65</v>
      </c>
      <c r="B24" t="s">
        <v>66</v>
      </c>
      <c r="C24">
        <v>3</v>
      </c>
      <c r="D24">
        <v>3</v>
      </c>
      <c r="E24" t="s">
        <v>21</v>
      </c>
    </row>
    <row r="25" spans="1:5" x14ac:dyDescent="0.25">
      <c r="A25" t="s">
        <v>67</v>
      </c>
      <c r="B25" t="s">
        <v>68</v>
      </c>
      <c r="C25">
        <v>3</v>
      </c>
      <c r="D25">
        <v>4</v>
      </c>
      <c r="E25" t="s">
        <v>21</v>
      </c>
    </row>
    <row r="26" spans="1:5" x14ac:dyDescent="0.25">
      <c r="A26" t="s">
        <v>69</v>
      </c>
      <c r="B26" t="s">
        <v>70</v>
      </c>
      <c r="C26">
        <v>4</v>
      </c>
      <c r="D26">
        <v>4</v>
      </c>
      <c r="E26" t="s">
        <v>21</v>
      </c>
    </row>
    <row r="27" spans="1:5" x14ac:dyDescent="0.25">
      <c r="A27" t="s">
        <v>71</v>
      </c>
      <c r="B27" t="s">
        <v>72</v>
      </c>
      <c r="C27">
        <v>3</v>
      </c>
      <c r="D27">
        <v>4</v>
      </c>
      <c r="E27" t="s">
        <v>21</v>
      </c>
    </row>
    <row r="28" spans="1:5" x14ac:dyDescent="0.25">
      <c r="A28" t="s">
        <v>73</v>
      </c>
      <c r="B28" t="s">
        <v>74</v>
      </c>
      <c r="C28">
        <v>5</v>
      </c>
      <c r="D28">
        <v>5</v>
      </c>
      <c r="E28" t="s">
        <v>21</v>
      </c>
    </row>
    <row r="29" spans="1:5" x14ac:dyDescent="0.25">
      <c r="A29" t="s">
        <v>75</v>
      </c>
      <c r="B29" t="s">
        <v>76</v>
      </c>
      <c r="C29">
        <v>1</v>
      </c>
      <c r="D29">
        <v>1</v>
      </c>
      <c r="E29" t="s">
        <v>77</v>
      </c>
    </row>
    <row r="30" spans="1:5" x14ac:dyDescent="0.25">
      <c r="A30" t="s">
        <v>78</v>
      </c>
      <c r="B30" t="s">
        <v>79</v>
      </c>
      <c r="C30">
        <v>3</v>
      </c>
      <c r="D30">
        <v>5</v>
      </c>
      <c r="E30" t="s">
        <v>21</v>
      </c>
    </row>
    <row r="31" spans="1:5" x14ac:dyDescent="0.25">
      <c r="A31" t="s">
        <v>80</v>
      </c>
      <c r="B31" t="s">
        <v>81</v>
      </c>
      <c r="C31">
        <v>2</v>
      </c>
      <c r="D31">
        <v>3</v>
      </c>
      <c r="E31" t="s">
        <v>21</v>
      </c>
    </row>
    <row r="32" spans="1:5" x14ac:dyDescent="0.25">
      <c r="A32" t="s">
        <v>82</v>
      </c>
      <c r="B32" t="s">
        <v>83</v>
      </c>
      <c r="C32">
        <v>3</v>
      </c>
      <c r="D32">
        <v>4</v>
      </c>
      <c r="E32" t="s">
        <v>21</v>
      </c>
    </row>
    <row r="33" spans="1:5" x14ac:dyDescent="0.25">
      <c r="A33" t="s">
        <v>84</v>
      </c>
      <c r="B33" t="s">
        <v>85</v>
      </c>
      <c r="C33">
        <v>5</v>
      </c>
      <c r="D33">
        <v>5</v>
      </c>
      <c r="E33" t="s">
        <v>21</v>
      </c>
    </row>
    <row r="34" spans="1:5" x14ac:dyDescent="0.25">
      <c r="A34" t="s">
        <v>86</v>
      </c>
      <c r="B34" t="s">
        <v>87</v>
      </c>
      <c r="C34">
        <v>3</v>
      </c>
      <c r="D34">
        <v>4</v>
      </c>
      <c r="E34" t="s">
        <v>21</v>
      </c>
    </row>
    <row r="35" spans="1:5" x14ac:dyDescent="0.25">
      <c r="A35" t="s">
        <v>88</v>
      </c>
      <c r="B35" t="s">
        <v>89</v>
      </c>
      <c r="C35">
        <v>3</v>
      </c>
      <c r="D35">
        <v>4</v>
      </c>
      <c r="E35" t="s">
        <v>21</v>
      </c>
    </row>
    <row r="36" spans="1:5" x14ac:dyDescent="0.25">
      <c r="A36" t="s">
        <v>90</v>
      </c>
      <c r="B36" t="s">
        <v>91</v>
      </c>
      <c r="C36" t="s">
        <v>92</v>
      </c>
      <c r="D36" t="s">
        <v>92</v>
      </c>
      <c r="E36" t="s">
        <v>34</v>
      </c>
    </row>
    <row r="37" spans="1:5" x14ac:dyDescent="0.25">
      <c r="A37" t="s">
        <v>93</v>
      </c>
      <c r="B37" t="s">
        <v>94</v>
      </c>
      <c r="C37">
        <v>4</v>
      </c>
      <c r="D37">
        <v>5</v>
      </c>
      <c r="E37" t="s">
        <v>21</v>
      </c>
    </row>
    <row r="38" spans="1:5" x14ac:dyDescent="0.25">
      <c r="A38" t="s">
        <v>95</v>
      </c>
      <c r="B38" t="s">
        <v>96</v>
      </c>
      <c r="C38">
        <v>3</v>
      </c>
      <c r="D38">
        <v>3</v>
      </c>
      <c r="E38" t="s">
        <v>21</v>
      </c>
    </row>
    <row r="39" spans="1:5" x14ac:dyDescent="0.25">
      <c r="A39" t="s">
        <v>97</v>
      </c>
      <c r="B39" t="s">
        <v>98</v>
      </c>
      <c r="C39" t="s">
        <v>92</v>
      </c>
      <c r="D39" t="s">
        <v>92</v>
      </c>
      <c r="E39" t="s">
        <v>34</v>
      </c>
    </row>
    <row r="40" spans="1:5" x14ac:dyDescent="0.25">
      <c r="A40" t="s">
        <v>99</v>
      </c>
      <c r="B40" t="s">
        <v>100</v>
      </c>
      <c r="C40">
        <v>4</v>
      </c>
      <c r="D40">
        <v>4</v>
      </c>
      <c r="E40" t="s">
        <v>21</v>
      </c>
    </row>
    <row r="41" spans="1:5" x14ac:dyDescent="0.25">
      <c r="A41" t="s">
        <v>101</v>
      </c>
      <c r="B41" t="s">
        <v>102</v>
      </c>
      <c r="C41">
        <v>2</v>
      </c>
      <c r="D41">
        <v>2</v>
      </c>
      <c r="E41" t="s">
        <v>21</v>
      </c>
    </row>
    <row r="42" spans="1:5" x14ac:dyDescent="0.25">
      <c r="A42" t="s">
        <v>103</v>
      </c>
      <c r="B42" t="s">
        <v>104</v>
      </c>
      <c r="C42">
        <v>3</v>
      </c>
      <c r="D42">
        <v>5</v>
      </c>
      <c r="E42" t="s">
        <v>21</v>
      </c>
    </row>
    <row r="43" spans="1:5" x14ac:dyDescent="0.25">
      <c r="A43" t="s">
        <v>105</v>
      </c>
      <c r="B43" t="s">
        <v>106</v>
      </c>
      <c r="C43">
        <v>4</v>
      </c>
      <c r="D43">
        <v>3</v>
      </c>
      <c r="E43" t="s">
        <v>21</v>
      </c>
    </row>
    <row r="44" spans="1:5" x14ac:dyDescent="0.25">
      <c r="A44" t="s">
        <v>107</v>
      </c>
      <c r="B44" t="s">
        <v>108</v>
      </c>
      <c r="C44">
        <v>4</v>
      </c>
      <c r="D44">
        <v>4</v>
      </c>
      <c r="E44" t="s">
        <v>21</v>
      </c>
    </row>
    <row r="45" spans="1:5" x14ac:dyDescent="0.25">
      <c r="A45" t="s">
        <v>109</v>
      </c>
      <c r="B45" t="s">
        <v>110</v>
      </c>
      <c r="C45">
        <v>4</v>
      </c>
      <c r="D45">
        <v>3</v>
      </c>
      <c r="E45" t="s">
        <v>21</v>
      </c>
    </row>
    <row r="46" spans="1:5" x14ac:dyDescent="0.25">
      <c r="A46" t="s">
        <v>111</v>
      </c>
      <c r="B46" t="s">
        <v>112</v>
      </c>
      <c r="C46">
        <v>2</v>
      </c>
      <c r="D46">
        <v>2</v>
      </c>
      <c r="E46" t="s">
        <v>21</v>
      </c>
    </row>
    <row r="47" spans="1:5" x14ac:dyDescent="0.25">
      <c r="A47" t="s">
        <v>113</v>
      </c>
      <c r="B47" t="s">
        <v>114</v>
      </c>
      <c r="C47">
        <v>2</v>
      </c>
      <c r="D47">
        <v>3</v>
      </c>
      <c r="E47" t="s">
        <v>21</v>
      </c>
    </row>
    <row r="48" spans="1:5" x14ac:dyDescent="0.25">
      <c r="A48" t="s">
        <v>115</v>
      </c>
      <c r="B48" t="s">
        <v>116</v>
      </c>
      <c r="C48">
        <v>2</v>
      </c>
      <c r="D48">
        <v>3</v>
      </c>
      <c r="E48" t="s">
        <v>21</v>
      </c>
    </row>
    <row r="49" spans="1:5" x14ac:dyDescent="0.25">
      <c r="A49" t="s">
        <v>117</v>
      </c>
      <c r="B49" t="s">
        <v>118</v>
      </c>
      <c r="C49">
        <v>4</v>
      </c>
      <c r="D49">
        <v>4</v>
      </c>
      <c r="E49" t="s">
        <v>21</v>
      </c>
    </row>
    <row r="50" spans="1:5" x14ac:dyDescent="0.25">
      <c r="A50" t="s">
        <v>119</v>
      </c>
      <c r="B50" t="s">
        <v>120</v>
      </c>
      <c r="C50">
        <v>3</v>
      </c>
      <c r="D50">
        <v>4</v>
      </c>
      <c r="E50" t="s">
        <v>21</v>
      </c>
    </row>
    <row r="51" spans="1:5" x14ac:dyDescent="0.25">
      <c r="A51" t="s">
        <v>121</v>
      </c>
      <c r="B51" t="s">
        <v>122</v>
      </c>
      <c r="C51">
        <v>2</v>
      </c>
      <c r="D51">
        <v>3</v>
      </c>
      <c r="E51" t="s">
        <v>21</v>
      </c>
    </row>
    <row r="52" spans="1:5" x14ac:dyDescent="0.25">
      <c r="A52" t="s">
        <v>123</v>
      </c>
      <c r="B52" t="s">
        <v>124</v>
      </c>
      <c r="C52" t="s">
        <v>125</v>
      </c>
      <c r="D52" t="s">
        <v>125</v>
      </c>
      <c r="E52" t="s">
        <v>34</v>
      </c>
    </row>
    <row r="53" spans="1:5" x14ac:dyDescent="0.25">
      <c r="A53" t="s">
        <v>126</v>
      </c>
      <c r="B53" t="s">
        <v>127</v>
      </c>
      <c r="C53" t="s">
        <v>125</v>
      </c>
      <c r="D53" t="s">
        <v>125</v>
      </c>
      <c r="E53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/>
  </sheetViews>
  <sheetFormatPr baseColWidth="10" defaultColWidth="9.140625" defaultRowHeight="15" x14ac:dyDescent="0.25"/>
  <cols>
    <col min="1" max="7" width="15" customWidth="1"/>
  </cols>
  <sheetData>
    <row r="1" spans="1:7" x14ac:dyDescent="0.25">
      <c r="A1" s="8" t="s">
        <v>128</v>
      </c>
      <c r="B1" s="8" t="s">
        <v>129</v>
      </c>
      <c r="C1" s="8" t="s">
        <v>130</v>
      </c>
      <c r="D1" s="8" t="s">
        <v>131</v>
      </c>
      <c r="E1" s="8" t="s">
        <v>132</v>
      </c>
      <c r="F1" s="8" t="s">
        <v>133</v>
      </c>
      <c r="G1" s="8" t="s">
        <v>134</v>
      </c>
    </row>
    <row r="2" spans="1:7" x14ac:dyDescent="0.25">
      <c r="A2">
        <v>10</v>
      </c>
      <c r="B2">
        <v>5.67</v>
      </c>
      <c r="C2">
        <v>6.8</v>
      </c>
      <c r="D2">
        <v>7.18</v>
      </c>
      <c r="E2">
        <v>7.45</v>
      </c>
      <c r="F2">
        <v>7.88</v>
      </c>
      <c r="G2">
        <v>17.79</v>
      </c>
    </row>
    <row r="3" spans="1:7" x14ac:dyDescent="0.25">
      <c r="A3">
        <v>20</v>
      </c>
      <c r="B3">
        <v>6.62</v>
      </c>
      <c r="C3">
        <v>7.25</v>
      </c>
      <c r="D3">
        <v>7.8</v>
      </c>
      <c r="E3">
        <v>8.56</v>
      </c>
      <c r="F3">
        <v>9.07</v>
      </c>
      <c r="G3">
        <v>20.74</v>
      </c>
    </row>
    <row r="4" spans="1:7" x14ac:dyDescent="0.25">
      <c r="A4">
        <v>30</v>
      </c>
      <c r="B4">
        <v>9.5299999999999994</v>
      </c>
      <c r="C4">
        <v>7.64</v>
      </c>
      <c r="D4">
        <v>8.82</v>
      </c>
      <c r="E4">
        <v>10.55</v>
      </c>
      <c r="F4">
        <v>11.21</v>
      </c>
      <c r="G4">
        <v>26.88</v>
      </c>
    </row>
    <row r="5" spans="1:7" x14ac:dyDescent="0.25">
      <c r="A5">
        <v>40</v>
      </c>
      <c r="B5">
        <v>8.85</v>
      </c>
      <c r="C5">
        <v>10.42</v>
      </c>
      <c r="D5">
        <v>11.24</v>
      </c>
      <c r="E5">
        <v>12.23</v>
      </c>
      <c r="F5">
        <v>12.95</v>
      </c>
      <c r="G5">
        <v>32.380000000000003</v>
      </c>
    </row>
    <row r="6" spans="1:7" x14ac:dyDescent="0.25">
      <c r="A6">
        <v>50</v>
      </c>
      <c r="B6">
        <v>9.94</v>
      </c>
      <c r="C6">
        <v>11.98</v>
      </c>
      <c r="D6">
        <v>12.91</v>
      </c>
      <c r="E6">
        <v>14.28</v>
      </c>
      <c r="F6">
        <v>15.12</v>
      </c>
      <c r="G6">
        <v>37.03</v>
      </c>
    </row>
    <row r="7" spans="1:7" x14ac:dyDescent="0.25">
      <c r="A7">
        <v>60</v>
      </c>
      <c r="B7">
        <v>11.07</v>
      </c>
      <c r="C7">
        <v>13.52</v>
      </c>
      <c r="D7">
        <v>14.63</v>
      </c>
      <c r="E7">
        <v>16.510000000000002</v>
      </c>
      <c r="F7">
        <v>17.5</v>
      </c>
      <c r="G7">
        <v>41.75</v>
      </c>
    </row>
    <row r="8" spans="1:7" x14ac:dyDescent="0.25">
      <c r="A8">
        <v>70</v>
      </c>
      <c r="B8">
        <v>12.26</v>
      </c>
      <c r="C8">
        <v>15.17</v>
      </c>
      <c r="D8">
        <v>16.760000000000002</v>
      </c>
      <c r="E8">
        <v>18.62</v>
      </c>
      <c r="F8">
        <v>19.72</v>
      </c>
      <c r="G8">
        <v>46.48</v>
      </c>
    </row>
    <row r="9" spans="1:7" x14ac:dyDescent="0.25">
      <c r="A9">
        <v>80</v>
      </c>
      <c r="B9">
        <v>17.010000000000002</v>
      </c>
      <c r="C9">
        <v>18.62</v>
      </c>
      <c r="D9">
        <v>13.2</v>
      </c>
      <c r="E9">
        <v>20.2</v>
      </c>
      <c r="F9">
        <v>21.42</v>
      </c>
      <c r="G9">
        <v>51.2</v>
      </c>
    </row>
    <row r="10" spans="1:7" x14ac:dyDescent="0.25">
      <c r="A10">
        <v>90</v>
      </c>
      <c r="B10">
        <v>13.95</v>
      </c>
      <c r="C10">
        <v>18.809999999999999</v>
      </c>
      <c r="D10">
        <v>20.54</v>
      </c>
      <c r="E10">
        <v>21.63</v>
      </c>
      <c r="F10">
        <v>22.93</v>
      </c>
      <c r="G10">
        <v>55.71</v>
      </c>
    </row>
    <row r="11" spans="1:7" x14ac:dyDescent="0.25">
      <c r="A11">
        <v>100</v>
      </c>
      <c r="B11">
        <v>15.09</v>
      </c>
      <c r="C11">
        <v>20.47</v>
      </c>
      <c r="D11">
        <v>22.33</v>
      </c>
      <c r="E11">
        <v>22.98</v>
      </c>
      <c r="F11">
        <v>24.36</v>
      </c>
      <c r="G11">
        <v>60.65</v>
      </c>
    </row>
    <row r="12" spans="1:7" x14ac:dyDescent="0.25">
      <c r="A12">
        <v>125</v>
      </c>
      <c r="B12">
        <v>16.3</v>
      </c>
      <c r="C12">
        <v>22.06</v>
      </c>
      <c r="D12">
        <v>24.12</v>
      </c>
      <c r="E12">
        <v>25.37</v>
      </c>
      <c r="F12">
        <v>27.3</v>
      </c>
      <c r="G12">
        <v>68.989999999999995</v>
      </c>
    </row>
    <row r="13" spans="1:7" x14ac:dyDescent="0.25">
      <c r="A13">
        <v>150</v>
      </c>
      <c r="B13">
        <v>18.57</v>
      </c>
      <c r="C13">
        <v>24.12</v>
      </c>
      <c r="D13">
        <v>27.44</v>
      </c>
      <c r="E13">
        <v>30.8</v>
      </c>
      <c r="F13">
        <v>32.82</v>
      </c>
      <c r="G13">
        <v>80.31</v>
      </c>
    </row>
    <row r="14" spans="1:7" x14ac:dyDescent="0.25">
      <c r="A14">
        <v>175</v>
      </c>
      <c r="B14">
        <v>20.66</v>
      </c>
      <c r="C14">
        <v>27.43</v>
      </c>
      <c r="D14">
        <v>30.3</v>
      </c>
      <c r="E14">
        <v>35.68</v>
      </c>
      <c r="F14">
        <v>37.08</v>
      </c>
      <c r="G14">
        <v>87.51</v>
      </c>
    </row>
    <row r="15" spans="1:7" x14ac:dyDescent="0.25">
      <c r="A15">
        <v>200</v>
      </c>
      <c r="B15">
        <v>22.92</v>
      </c>
      <c r="C15">
        <v>29.24</v>
      </c>
      <c r="D15">
        <v>33.08</v>
      </c>
      <c r="E15">
        <v>38.6</v>
      </c>
      <c r="F15">
        <v>41.35</v>
      </c>
      <c r="G15">
        <v>97.91</v>
      </c>
    </row>
    <row r="16" spans="1:7" x14ac:dyDescent="0.25">
      <c r="A16">
        <v>250</v>
      </c>
      <c r="B16">
        <v>25.1</v>
      </c>
      <c r="C16">
        <v>36.53</v>
      </c>
      <c r="D16">
        <v>41.35</v>
      </c>
      <c r="E16">
        <v>48.25</v>
      </c>
      <c r="F16">
        <v>51.7</v>
      </c>
      <c r="G16">
        <v>111.49</v>
      </c>
    </row>
    <row r="17" spans="1:7" x14ac:dyDescent="0.25">
      <c r="A17">
        <v>300</v>
      </c>
      <c r="B17">
        <v>27.19</v>
      </c>
      <c r="C17">
        <v>43.84</v>
      </c>
      <c r="D17">
        <v>49.62</v>
      </c>
      <c r="E17">
        <v>57.9</v>
      </c>
      <c r="F17">
        <v>62.04</v>
      </c>
      <c r="G17">
        <v>125.98</v>
      </c>
    </row>
    <row r="18" spans="1:7" x14ac:dyDescent="0.25">
      <c r="A18">
        <v>350</v>
      </c>
      <c r="B18">
        <v>31.04</v>
      </c>
      <c r="C18">
        <v>51.14</v>
      </c>
      <c r="D18">
        <v>57.9</v>
      </c>
      <c r="E18">
        <v>67.540000000000006</v>
      </c>
      <c r="F18">
        <v>72.36</v>
      </c>
      <c r="G18">
        <v>141.30000000000001</v>
      </c>
    </row>
    <row r="19" spans="1:7" x14ac:dyDescent="0.25">
      <c r="A19">
        <v>400</v>
      </c>
      <c r="B19">
        <v>34.840000000000003</v>
      </c>
      <c r="C19">
        <v>58.44</v>
      </c>
      <c r="D19">
        <v>66.16</v>
      </c>
      <c r="E19">
        <v>77.19</v>
      </c>
      <c r="F19">
        <v>82.7</v>
      </c>
      <c r="G19">
        <v>156.15</v>
      </c>
    </row>
    <row r="20" spans="1:7" x14ac:dyDescent="0.25">
      <c r="A20">
        <v>450</v>
      </c>
      <c r="B20">
        <v>38.53</v>
      </c>
      <c r="C20">
        <v>65.760000000000005</v>
      </c>
      <c r="D20">
        <v>74.430000000000007</v>
      </c>
      <c r="E20">
        <v>86.84</v>
      </c>
      <c r="F20">
        <v>93.04</v>
      </c>
      <c r="G20">
        <v>171.17</v>
      </c>
    </row>
    <row r="21" spans="1:7" x14ac:dyDescent="0.25">
      <c r="A21">
        <v>500</v>
      </c>
      <c r="B21">
        <v>42.38</v>
      </c>
      <c r="C21">
        <v>68.930000000000007</v>
      </c>
      <c r="D21">
        <v>74.430000000000007</v>
      </c>
      <c r="E21">
        <v>96.49</v>
      </c>
      <c r="F21">
        <v>99.24</v>
      </c>
      <c r="G21">
        <v>186.85</v>
      </c>
    </row>
    <row r="22" spans="1:7" x14ac:dyDescent="0.25">
      <c r="A22">
        <v>600</v>
      </c>
      <c r="B22">
        <v>46.11</v>
      </c>
      <c r="C22">
        <v>82.7</v>
      </c>
      <c r="D22">
        <v>82.7</v>
      </c>
      <c r="E22">
        <v>99.24</v>
      </c>
      <c r="F22">
        <v>104.19</v>
      </c>
      <c r="G22">
        <v>226.13</v>
      </c>
    </row>
    <row r="23" spans="1:7" x14ac:dyDescent="0.25">
      <c r="A23">
        <v>700</v>
      </c>
      <c r="B23">
        <v>49.81</v>
      </c>
      <c r="C23">
        <v>96.49</v>
      </c>
      <c r="D23">
        <v>96.49</v>
      </c>
      <c r="E23">
        <v>115.79</v>
      </c>
      <c r="F23">
        <v>121.58</v>
      </c>
      <c r="G23">
        <v>257.27</v>
      </c>
    </row>
    <row r="24" spans="1:7" x14ac:dyDescent="0.25">
      <c r="A24">
        <v>800</v>
      </c>
      <c r="B24">
        <v>56.4</v>
      </c>
      <c r="C24">
        <v>110.27</v>
      </c>
      <c r="D24">
        <v>110.27</v>
      </c>
      <c r="E24">
        <v>132.31</v>
      </c>
      <c r="F24">
        <v>138.93</v>
      </c>
      <c r="G24">
        <v>288.82</v>
      </c>
    </row>
    <row r="25" spans="1:7" x14ac:dyDescent="0.25">
      <c r="A25">
        <v>900</v>
      </c>
      <c r="B25">
        <v>63</v>
      </c>
      <c r="C25">
        <v>124.05</v>
      </c>
      <c r="D25">
        <v>124.05</v>
      </c>
      <c r="E25">
        <v>148.86000000000001</v>
      </c>
      <c r="F25">
        <v>156.30000000000001</v>
      </c>
      <c r="G25">
        <v>320.79000000000002</v>
      </c>
    </row>
    <row r="26" spans="1:7" x14ac:dyDescent="0.25">
      <c r="A26">
        <v>1000</v>
      </c>
      <c r="B26">
        <v>70.290000000000006</v>
      </c>
      <c r="C26">
        <v>137.83000000000001</v>
      </c>
      <c r="D26">
        <v>137.83000000000001</v>
      </c>
      <c r="E26">
        <v>165.4</v>
      </c>
      <c r="F26">
        <v>173.66</v>
      </c>
      <c r="G26">
        <v>357.25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tabSelected="1" workbookViewId="0">
      <selection activeCell="A29" sqref="A29:XFD29"/>
    </sheetView>
  </sheetViews>
  <sheetFormatPr baseColWidth="10" defaultColWidth="9.140625" defaultRowHeight="15" x14ac:dyDescent="0.25"/>
  <cols>
    <col min="1" max="8" width="15" customWidth="1"/>
  </cols>
  <sheetData>
    <row r="1" spans="1:10" x14ac:dyDescent="0.25">
      <c r="A1" s="15" t="s">
        <v>128</v>
      </c>
      <c r="B1" s="15" t="s">
        <v>129</v>
      </c>
      <c r="C1" s="15" t="s">
        <v>130</v>
      </c>
      <c r="D1" s="15" t="s">
        <v>131</v>
      </c>
      <c r="E1" s="15" t="s">
        <v>132</v>
      </c>
      <c r="F1" s="15" t="s">
        <v>133</v>
      </c>
      <c r="G1" s="15" t="s">
        <v>134</v>
      </c>
      <c r="H1" s="15" t="s">
        <v>135</v>
      </c>
      <c r="I1" s="15" t="s">
        <v>164</v>
      </c>
      <c r="J1" s="15" t="s">
        <v>165</v>
      </c>
    </row>
    <row r="2" spans="1:10" x14ac:dyDescent="0.25">
      <c r="A2">
        <v>1</v>
      </c>
      <c r="B2">
        <v>3.92</v>
      </c>
      <c r="C2">
        <v>3.92</v>
      </c>
      <c r="D2">
        <v>3.92</v>
      </c>
      <c r="E2">
        <v>3.92</v>
      </c>
      <c r="F2">
        <v>3.92</v>
      </c>
      <c r="G2">
        <v>3.92</v>
      </c>
      <c r="H2">
        <v>6.42</v>
      </c>
      <c r="I2">
        <v>120.52</v>
      </c>
      <c r="J2">
        <v>28.05</v>
      </c>
    </row>
    <row r="3" spans="1:10" x14ac:dyDescent="0.25">
      <c r="A3">
        <v>5</v>
      </c>
      <c r="B3">
        <v>4</v>
      </c>
      <c r="C3">
        <v>4.13</v>
      </c>
      <c r="D3">
        <v>4.18</v>
      </c>
      <c r="E3">
        <v>4.18</v>
      </c>
      <c r="F3">
        <v>4.13</v>
      </c>
      <c r="G3">
        <v>4.24</v>
      </c>
      <c r="H3">
        <v>6.42</v>
      </c>
      <c r="I3">
        <v>129.13</v>
      </c>
      <c r="J3">
        <v>28.05</v>
      </c>
    </row>
    <row r="4" spans="1:10" x14ac:dyDescent="0.25">
      <c r="A4">
        <v>10</v>
      </c>
      <c r="B4">
        <v>4.37</v>
      </c>
      <c r="C4">
        <v>4.51</v>
      </c>
      <c r="D4">
        <v>4.51</v>
      </c>
      <c r="E4">
        <v>4.41</v>
      </c>
      <c r="F4">
        <v>4.12</v>
      </c>
      <c r="G4">
        <v>4.87</v>
      </c>
      <c r="H4">
        <v>6.42</v>
      </c>
      <c r="I4">
        <v>125.51</v>
      </c>
      <c r="J4">
        <v>35.57</v>
      </c>
    </row>
    <row r="5" spans="1:10" x14ac:dyDescent="0.25">
      <c r="A5">
        <v>20</v>
      </c>
      <c r="B5">
        <v>4.37</v>
      </c>
      <c r="C5">
        <v>6.5</v>
      </c>
      <c r="D5">
        <v>6.9</v>
      </c>
      <c r="E5">
        <v>6.9</v>
      </c>
      <c r="F5">
        <v>5.5</v>
      </c>
      <c r="G5">
        <v>8.7799999999999994</v>
      </c>
      <c r="H5">
        <v>14.1</v>
      </c>
      <c r="I5">
        <v>147.61000000000001</v>
      </c>
      <c r="J5">
        <v>45.07</v>
      </c>
    </row>
    <row r="6" spans="1:10" x14ac:dyDescent="0.25">
      <c r="A6">
        <v>30</v>
      </c>
      <c r="B6">
        <v>5.14</v>
      </c>
      <c r="C6">
        <v>7.34</v>
      </c>
      <c r="D6">
        <v>9.15</v>
      </c>
      <c r="E6">
        <v>9.25</v>
      </c>
      <c r="F6">
        <v>11.3</v>
      </c>
      <c r="G6">
        <v>18.41</v>
      </c>
      <c r="H6">
        <v>18.41</v>
      </c>
      <c r="I6">
        <v>184.35</v>
      </c>
      <c r="J6">
        <v>59.51</v>
      </c>
    </row>
    <row r="7" spans="1:10" x14ac:dyDescent="0.25">
      <c r="A7">
        <v>40</v>
      </c>
      <c r="B7">
        <v>6.07</v>
      </c>
      <c r="C7">
        <v>8.65</v>
      </c>
      <c r="D7">
        <v>11.13</v>
      </c>
      <c r="E7">
        <v>11.18</v>
      </c>
      <c r="F7">
        <v>13.84</v>
      </c>
      <c r="G7">
        <v>22.3</v>
      </c>
      <c r="H7">
        <v>22.55</v>
      </c>
      <c r="I7">
        <v>264.35000000000002</v>
      </c>
      <c r="J7">
        <v>67.58</v>
      </c>
    </row>
    <row r="8" spans="1:10" x14ac:dyDescent="0.25">
      <c r="A8">
        <v>50</v>
      </c>
      <c r="B8">
        <v>6.9</v>
      </c>
      <c r="C8">
        <v>11.17</v>
      </c>
      <c r="D8">
        <v>12.72</v>
      </c>
      <c r="E8">
        <v>12.72</v>
      </c>
      <c r="F8">
        <v>15.83</v>
      </c>
      <c r="G8">
        <v>25.61</v>
      </c>
      <c r="H8">
        <v>25.61</v>
      </c>
      <c r="I8">
        <v>351.54</v>
      </c>
      <c r="J8">
        <v>77.599999999999994</v>
      </c>
    </row>
    <row r="9" spans="1:10" x14ac:dyDescent="0.25">
      <c r="A9">
        <v>60</v>
      </c>
      <c r="B9">
        <v>7.75</v>
      </c>
      <c r="C9">
        <v>11.19</v>
      </c>
      <c r="D9">
        <v>12.6</v>
      </c>
      <c r="E9">
        <v>14.34</v>
      </c>
      <c r="F9">
        <v>14.34</v>
      </c>
      <c r="G9">
        <v>17.850000000000001</v>
      </c>
      <c r="H9">
        <v>28.86</v>
      </c>
      <c r="I9">
        <v>396.5</v>
      </c>
      <c r="J9">
        <v>84.54</v>
      </c>
    </row>
    <row r="10" spans="1:10" x14ac:dyDescent="0.25">
      <c r="A10">
        <v>70</v>
      </c>
      <c r="B10">
        <v>8.6</v>
      </c>
      <c r="C10">
        <v>12.46</v>
      </c>
      <c r="D10">
        <v>14.02</v>
      </c>
      <c r="E10">
        <v>15.97</v>
      </c>
      <c r="F10">
        <v>15.97</v>
      </c>
      <c r="G10">
        <v>19.86</v>
      </c>
      <c r="H10">
        <v>32.119999999999997</v>
      </c>
      <c r="I10">
        <v>448.2</v>
      </c>
      <c r="J10">
        <v>97.43</v>
      </c>
    </row>
    <row r="11" spans="1:10" x14ac:dyDescent="0.25">
      <c r="A11">
        <v>80</v>
      </c>
      <c r="B11">
        <v>12.54</v>
      </c>
      <c r="C11">
        <v>18.190000000000001</v>
      </c>
      <c r="D11">
        <v>20.46</v>
      </c>
      <c r="E11">
        <v>20.71</v>
      </c>
      <c r="F11">
        <v>20.71</v>
      </c>
      <c r="G11">
        <v>28.97</v>
      </c>
      <c r="H11">
        <v>46.87</v>
      </c>
      <c r="I11">
        <v>405.58</v>
      </c>
      <c r="J11">
        <v>107.32</v>
      </c>
    </row>
    <row r="12" spans="1:10" x14ac:dyDescent="0.25">
      <c r="A12">
        <v>90</v>
      </c>
      <c r="B12">
        <v>13.71</v>
      </c>
      <c r="C12">
        <v>19.79</v>
      </c>
      <c r="D12">
        <v>22.26</v>
      </c>
      <c r="E12">
        <v>22.26</v>
      </c>
      <c r="F12">
        <v>22.26</v>
      </c>
      <c r="G12">
        <v>31.53</v>
      </c>
      <c r="H12">
        <v>50.98</v>
      </c>
      <c r="I12">
        <v>547.37</v>
      </c>
      <c r="J12">
        <v>116.75</v>
      </c>
    </row>
    <row r="13" spans="1:10" x14ac:dyDescent="0.25">
      <c r="A13">
        <v>100</v>
      </c>
      <c r="B13">
        <v>14.9</v>
      </c>
      <c r="C13">
        <v>21.53</v>
      </c>
      <c r="D13">
        <v>22.48</v>
      </c>
      <c r="E13">
        <v>22.48</v>
      </c>
      <c r="F13">
        <v>22.48</v>
      </c>
      <c r="G13">
        <v>34.32</v>
      </c>
      <c r="H13">
        <v>55.51</v>
      </c>
      <c r="I13">
        <v>592.48</v>
      </c>
      <c r="J13">
        <v>127.12</v>
      </c>
    </row>
    <row r="14" spans="1:10" x14ac:dyDescent="0.25">
      <c r="A14">
        <v>125</v>
      </c>
      <c r="B14">
        <v>16.77</v>
      </c>
      <c r="C14">
        <v>24.49</v>
      </c>
      <c r="D14">
        <v>25.56</v>
      </c>
      <c r="E14">
        <v>25.56</v>
      </c>
      <c r="F14">
        <v>25.56</v>
      </c>
      <c r="G14">
        <v>39.020000000000003</v>
      </c>
      <c r="H14">
        <v>63.15</v>
      </c>
      <c r="I14">
        <v>707.59</v>
      </c>
      <c r="J14">
        <v>144.54</v>
      </c>
    </row>
    <row r="15" spans="1:10" x14ac:dyDescent="0.25">
      <c r="A15">
        <v>150</v>
      </c>
      <c r="B15">
        <v>19.66</v>
      </c>
      <c r="C15">
        <v>27.57</v>
      </c>
      <c r="D15">
        <v>29.78</v>
      </c>
      <c r="E15">
        <v>29.78</v>
      </c>
      <c r="F15">
        <v>29.78</v>
      </c>
      <c r="G15">
        <v>45.45</v>
      </c>
      <c r="H15">
        <v>73.52</v>
      </c>
      <c r="I15">
        <v>849.15</v>
      </c>
      <c r="J15">
        <v>168.35</v>
      </c>
    </row>
    <row r="16" spans="1:10" x14ac:dyDescent="0.25">
      <c r="A16">
        <v>175</v>
      </c>
      <c r="B16">
        <v>22.99</v>
      </c>
      <c r="C16">
        <v>33.35</v>
      </c>
      <c r="D16">
        <v>33.57</v>
      </c>
      <c r="E16">
        <v>33.57</v>
      </c>
      <c r="F16">
        <v>33.57</v>
      </c>
      <c r="G16">
        <v>53.16</v>
      </c>
      <c r="H16">
        <v>85.97</v>
      </c>
      <c r="I16">
        <v>1025.25</v>
      </c>
      <c r="J16">
        <v>189.84</v>
      </c>
    </row>
    <row r="17" spans="1:10" x14ac:dyDescent="0.25">
      <c r="A17">
        <v>200</v>
      </c>
      <c r="B17">
        <v>25.78</v>
      </c>
      <c r="C17">
        <v>37.82</v>
      </c>
      <c r="D17">
        <v>37.56</v>
      </c>
      <c r="E17">
        <v>37.56</v>
      </c>
      <c r="F17">
        <v>37.56</v>
      </c>
      <c r="G17">
        <v>59.47</v>
      </c>
      <c r="H17">
        <v>96.2</v>
      </c>
      <c r="I17">
        <v>1171.74</v>
      </c>
      <c r="J17">
        <v>212.42</v>
      </c>
    </row>
    <row r="18" spans="1:10" x14ac:dyDescent="0.25">
      <c r="A18">
        <v>250</v>
      </c>
      <c r="B18">
        <v>29.27</v>
      </c>
      <c r="C18">
        <v>42.51</v>
      </c>
      <c r="D18">
        <v>42.79</v>
      </c>
      <c r="E18">
        <v>42.79</v>
      </c>
      <c r="F18">
        <v>42.79</v>
      </c>
      <c r="G18">
        <v>67.739999999999995</v>
      </c>
      <c r="H18">
        <v>109.52</v>
      </c>
      <c r="I18">
        <v>1404</v>
      </c>
      <c r="J18">
        <v>241.05</v>
      </c>
    </row>
    <row r="19" spans="1:10" x14ac:dyDescent="0.25">
      <c r="A19">
        <v>300</v>
      </c>
      <c r="B19">
        <v>32.83</v>
      </c>
      <c r="C19">
        <v>48.03</v>
      </c>
      <c r="D19">
        <v>48.34</v>
      </c>
      <c r="E19">
        <v>48.34</v>
      </c>
      <c r="F19">
        <v>48.34</v>
      </c>
      <c r="G19">
        <v>76.52</v>
      </c>
      <c r="H19">
        <v>123.75</v>
      </c>
      <c r="I19">
        <v>1664.31</v>
      </c>
      <c r="J19">
        <v>273.29000000000002</v>
      </c>
    </row>
    <row r="20" spans="1:10" x14ac:dyDescent="0.25">
      <c r="A20">
        <v>350</v>
      </c>
      <c r="B20">
        <v>44.47</v>
      </c>
      <c r="C20">
        <v>65.38</v>
      </c>
      <c r="D20">
        <v>67.069999999999993</v>
      </c>
      <c r="E20">
        <v>73.540000000000006</v>
      </c>
      <c r="F20">
        <v>81.16</v>
      </c>
      <c r="G20">
        <v>104.25</v>
      </c>
      <c r="H20">
        <v>168.54</v>
      </c>
      <c r="I20">
        <v>1965.57</v>
      </c>
      <c r="J20">
        <v>306.63</v>
      </c>
    </row>
    <row r="21" spans="1:10" x14ac:dyDescent="0.25">
      <c r="A21">
        <v>400</v>
      </c>
      <c r="B21">
        <v>49.01</v>
      </c>
      <c r="C21">
        <v>72.28</v>
      </c>
      <c r="D21">
        <v>74.13</v>
      </c>
      <c r="E21">
        <v>81.69</v>
      </c>
      <c r="F21">
        <v>89.68</v>
      </c>
      <c r="G21">
        <v>115.19</v>
      </c>
      <c r="H21">
        <v>186.27</v>
      </c>
      <c r="I21">
        <v>2246.37</v>
      </c>
      <c r="J21">
        <v>330.77</v>
      </c>
    </row>
    <row r="22" spans="1:10" x14ac:dyDescent="0.25">
      <c r="A22">
        <v>450</v>
      </c>
      <c r="B22">
        <v>53.02</v>
      </c>
      <c r="C22">
        <v>79.209999999999994</v>
      </c>
      <c r="D22">
        <v>89.13</v>
      </c>
      <c r="E22">
        <v>89.56</v>
      </c>
      <c r="F22">
        <v>89.56</v>
      </c>
      <c r="G22">
        <v>126.26</v>
      </c>
      <c r="H22">
        <v>204.19</v>
      </c>
      <c r="I22">
        <v>2527.17</v>
      </c>
      <c r="J22">
        <v>371.48</v>
      </c>
    </row>
    <row r="23" spans="1:10" x14ac:dyDescent="0.25">
      <c r="A23">
        <v>500</v>
      </c>
      <c r="B23">
        <v>57.34</v>
      </c>
      <c r="C23">
        <v>86.49</v>
      </c>
      <c r="D23">
        <v>97.28</v>
      </c>
      <c r="E23">
        <v>97.77</v>
      </c>
      <c r="F23">
        <v>97.77</v>
      </c>
      <c r="G23">
        <v>137.84</v>
      </c>
      <c r="H23">
        <v>222.9</v>
      </c>
      <c r="I23">
        <v>2807.96</v>
      </c>
      <c r="J23">
        <v>405.42</v>
      </c>
    </row>
    <row r="24" spans="1:10" x14ac:dyDescent="0.25">
      <c r="A24">
        <v>600</v>
      </c>
      <c r="B24">
        <v>66.91</v>
      </c>
      <c r="C24">
        <v>106.7</v>
      </c>
      <c r="D24">
        <v>120.08</v>
      </c>
      <c r="E24">
        <v>124.6</v>
      </c>
      <c r="F24">
        <v>130.05000000000001</v>
      </c>
      <c r="G24">
        <v>170.08</v>
      </c>
      <c r="H24">
        <v>275</v>
      </c>
      <c r="I24">
        <v>3058.67</v>
      </c>
      <c r="J24">
        <v>500.21</v>
      </c>
    </row>
    <row r="25" spans="1:10" x14ac:dyDescent="0.25">
      <c r="A25">
        <v>700</v>
      </c>
      <c r="B25">
        <v>75.19</v>
      </c>
      <c r="C25">
        <v>121.4</v>
      </c>
      <c r="D25">
        <v>136.58000000000001</v>
      </c>
      <c r="E25">
        <v>155.55000000000001</v>
      </c>
      <c r="F25">
        <v>170.73</v>
      </c>
      <c r="G25">
        <v>199.48</v>
      </c>
      <c r="H25">
        <v>312.88</v>
      </c>
      <c r="I25">
        <v>3568.42</v>
      </c>
      <c r="J25">
        <v>569.05999999999995</v>
      </c>
    </row>
    <row r="26" spans="1:10" x14ac:dyDescent="0.25">
      <c r="A26">
        <v>800</v>
      </c>
      <c r="B26">
        <v>82.9</v>
      </c>
      <c r="C26">
        <v>136.26</v>
      </c>
      <c r="D26">
        <v>153.28</v>
      </c>
      <c r="E26">
        <v>174.9</v>
      </c>
      <c r="F26">
        <v>191.04</v>
      </c>
      <c r="G26">
        <v>217.21</v>
      </c>
      <c r="H26">
        <v>351.25</v>
      </c>
      <c r="I26">
        <v>4078.23</v>
      </c>
      <c r="J26">
        <v>638.86</v>
      </c>
    </row>
    <row r="27" spans="1:10" x14ac:dyDescent="0.25">
      <c r="A27">
        <v>900</v>
      </c>
      <c r="B27">
        <v>91.39</v>
      </c>
      <c r="C27">
        <v>151.38</v>
      </c>
      <c r="D27">
        <v>170.27</v>
      </c>
      <c r="E27">
        <v>193.95</v>
      </c>
      <c r="F27">
        <v>212.87</v>
      </c>
      <c r="G27">
        <v>241.24</v>
      </c>
      <c r="H27">
        <v>390.14</v>
      </c>
      <c r="I27">
        <v>4588.05</v>
      </c>
      <c r="J27">
        <v>709.53</v>
      </c>
    </row>
    <row r="28" spans="1:10" x14ac:dyDescent="0.25">
      <c r="A28">
        <v>1000</v>
      </c>
      <c r="B28">
        <v>100.79</v>
      </c>
      <c r="C28">
        <v>168.58</v>
      </c>
      <c r="D28">
        <v>189.64</v>
      </c>
      <c r="E28">
        <v>215.98</v>
      </c>
      <c r="F28">
        <v>237.06</v>
      </c>
      <c r="G28">
        <v>268.67</v>
      </c>
      <c r="H28">
        <v>434.49</v>
      </c>
      <c r="I28">
        <v>5097.7700000000004</v>
      </c>
      <c r="J28">
        <v>790.25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baseColWidth="10" defaultColWidth="9.140625" defaultRowHeight="15" x14ac:dyDescent="0.25"/>
  <cols>
    <col min="1" max="3" width="15" customWidth="1"/>
  </cols>
  <sheetData>
    <row r="1" spans="1:3" x14ac:dyDescent="0.25">
      <c r="A1" s="8" t="s">
        <v>128</v>
      </c>
      <c r="B1" s="8" t="s">
        <v>77</v>
      </c>
      <c r="C1" s="8" t="s">
        <v>21</v>
      </c>
    </row>
    <row r="2" spans="1:3" x14ac:dyDescent="0.25">
      <c r="A2">
        <v>1</v>
      </c>
      <c r="B2">
        <v>4.08</v>
      </c>
      <c r="C2">
        <v>4.17</v>
      </c>
    </row>
    <row r="3" spans="1:3" x14ac:dyDescent="0.25">
      <c r="A3">
        <v>3</v>
      </c>
      <c r="B3">
        <v>4.25</v>
      </c>
      <c r="C3">
        <v>4.62</v>
      </c>
    </row>
    <row r="4" spans="1:3" x14ac:dyDescent="0.25">
      <c r="A4">
        <v>5</v>
      </c>
      <c r="B4">
        <v>4.4000000000000004</v>
      </c>
      <c r="C4">
        <v>4.87</v>
      </c>
    </row>
    <row r="5" spans="1:3" x14ac:dyDescent="0.25">
      <c r="A5">
        <v>10</v>
      </c>
      <c r="B5">
        <v>4.87</v>
      </c>
      <c r="C5">
        <v>5.93</v>
      </c>
    </row>
    <row r="6" spans="1:3" x14ac:dyDescent="0.25">
      <c r="A6">
        <v>15</v>
      </c>
      <c r="B6">
        <v>5.76</v>
      </c>
      <c r="C6">
        <v>8.2100000000000009</v>
      </c>
    </row>
    <row r="7" spans="1:3" x14ac:dyDescent="0.25">
      <c r="A7">
        <v>20</v>
      </c>
      <c r="B7">
        <v>6.64</v>
      </c>
      <c r="C7">
        <v>10.49</v>
      </c>
    </row>
    <row r="8" spans="1:3" x14ac:dyDescent="0.25">
      <c r="A8">
        <v>30</v>
      </c>
      <c r="B8">
        <v>8.41</v>
      </c>
      <c r="C8">
        <v>15.06</v>
      </c>
    </row>
    <row r="9" spans="1:3" x14ac:dyDescent="0.25">
      <c r="A9">
        <v>35</v>
      </c>
      <c r="B9">
        <v>9.26</v>
      </c>
      <c r="C9">
        <v>17.3</v>
      </c>
    </row>
    <row r="10" spans="1:3" x14ac:dyDescent="0.25">
      <c r="A10">
        <v>40</v>
      </c>
      <c r="B10">
        <v>10.18</v>
      </c>
      <c r="C10">
        <v>19.63</v>
      </c>
    </row>
    <row r="11" spans="1:3" x14ac:dyDescent="0.25">
      <c r="A11">
        <v>50</v>
      </c>
      <c r="B11">
        <v>12.38</v>
      </c>
      <c r="C11">
        <v>25.1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"/>
  <sheetViews>
    <sheetView workbookViewId="0"/>
  </sheetViews>
  <sheetFormatPr baseColWidth="10" defaultColWidth="9.140625" defaultRowHeight="15" x14ac:dyDescent="0.25"/>
  <cols>
    <col min="1" max="1" width="15" customWidth="1"/>
    <col min="2" max="3" width="16" customWidth="1"/>
  </cols>
  <sheetData>
    <row r="1" spans="1:3" x14ac:dyDescent="0.25">
      <c r="A1" s="8" t="s">
        <v>128</v>
      </c>
      <c r="B1" s="8" t="s">
        <v>136</v>
      </c>
      <c r="C1" s="8" t="s">
        <v>137</v>
      </c>
    </row>
    <row r="2" spans="1:3" x14ac:dyDescent="0.25">
      <c r="A2">
        <v>5</v>
      </c>
      <c r="B2">
        <v>16.21</v>
      </c>
      <c r="C2">
        <v>37.42</v>
      </c>
    </row>
    <row r="3" spans="1:3" x14ac:dyDescent="0.25">
      <c r="A3">
        <v>10</v>
      </c>
      <c r="B3">
        <v>20.260000000000002</v>
      </c>
      <c r="C3">
        <v>38.659999999999997</v>
      </c>
    </row>
    <row r="4" spans="1:3" x14ac:dyDescent="0.25">
      <c r="A4">
        <v>20</v>
      </c>
      <c r="B4">
        <v>24.33</v>
      </c>
      <c r="C4">
        <v>41.17</v>
      </c>
    </row>
    <row r="5" spans="1:3" x14ac:dyDescent="0.25">
      <c r="A5">
        <v>30</v>
      </c>
      <c r="B5">
        <v>28.38</v>
      </c>
      <c r="C5">
        <v>43.68</v>
      </c>
    </row>
    <row r="6" spans="1:3" x14ac:dyDescent="0.25">
      <c r="A6">
        <v>40</v>
      </c>
      <c r="B6">
        <v>32.44</v>
      </c>
      <c r="C6">
        <v>46.16</v>
      </c>
    </row>
    <row r="7" spans="1:3" x14ac:dyDescent="0.25">
      <c r="A7">
        <v>50</v>
      </c>
      <c r="B7">
        <v>36.49</v>
      </c>
      <c r="C7">
        <v>48.65</v>
      </c>
    </row>
    <row r="8" spans="1:3" x14ac:dyDescent="0.25">
      <c r="A8">
        <v>60</v>
      </c>
      <c r="B8">
        <v>37.83</v>
      </c>
      <c r="C8">
        <v>51.15</v>
      </c>
    </row>
    <row r="9" spans="1:3" x14ac:dyDescent="0.25">
      <c r="A9">
        <v>70</v>
      </c>
      <c r="B9">
        <v>41.89</v>
      </c>
      <c r="C9">
        <v>53.64</v>
      </c>
    </row>
    <row r="10" spans="1:3" x14ac:dyDescent="0.25">
      <c r="A10">
        <v>80</v>
      </c>
      <c r="B10">
        <v>45.95</v>
      </c>
      <c r="C10">
        <v>56.16</v>
      </c>
    </row>
    <row r="11" spans="1:3" x14ac:dyDescent="0.25">
      <c r="A11">
        <v>90</v>
      </c>
      <c r="B11">
        <v>50</v>
      </c>
      <c r="C11">
        <v>58.63</v>
      </c>
    </row>
    <row r="12" spans="1:3" x14ac:dyDescent="0.25">
      <c r="A12">
        <v>100</v>
      </c>
      <c r="B12">
        <v>54.05</v>
      </c>
      <c r="C12">
        <v>61.13</v>
      </c>
    </row>
    <row r="13" spans="1:3" x14ac:dyDescent="0.25">
      <c r="A13">
        <v>125</v>
      </c>
      <c r="B13">
        <v>59.29</v>
      </c>
      <c r="C13">
        <v>67.38</v>
      </c>
    </row>
    <row r="14" spans="1:3" x14ac:dyDescent="0.25">
      <c r="A14">
        <v>150</v>
      </c>
      <c r="B14">
        <v>67.22</v>
      </c>
      <c r="C14">
        <v>75.58</v>
      </c>
    </row>
    <row r="15" spans="1:3" x14ac:dyDescent="0.25">
      <c r="A15">
        <v>175</v>
      </c>
      <c r="B15">
        <v>73.06</v>
      </c>
      <c r="C15">
        <v>84.57</v>
      </c>
    </row>
    <row r="16" spans="1:3" x14ac:dyDescent="0.25">
      <c r="A16">
        <v>200</v>
      </c>
      <c r="B16">
        <v>80.98</v>
      </c>
      <c r="C16">
        <v>96.66</v>
      </c>
    </row>
    <row r="17" spans="1:3" x14ac:dyDescent="0.25">
      <c r="A17">
        <v>250</v>
      </c>
      <c r="B17">
        <v>98.7</v>
      </c>
      <c r="C17">
        <v>120.84</v>
      </c>
    </row>
    <row r="18" spans="1:3" x14ac:dyDescent="0.25">
      <c r="A18">
        <v>300</v>
      </c>
      <c r="B18">
        <v>115.41</v>
      </c>
      <c r="C18">
        <v>145</v>
      </c>
    </row>
    <row r="19" spans="1:3" x14ac:dyDescent="0.25">
      <c r="A19">
        <v>350</v>
      </c>
      <c r="B19">
        <v>131.99</v>
      </c>
      <c r="C19">
        <v>169.16</v>
      </c>
    </row>
    <row r="20" spans="1:3" x14ac:dyDescent="0.25">
      <c r="A20">
        <v>400</v>
      </c>
      <c r="B20">
        <v>148.83000000000001</v>
      </c>
      <c r="C20">
        <v>193.3</v>
      </c>
    </row>
    <row r="21" spans="1:3" x14ac:dyDescent="0.25">
      <c r="A21">
        <v>450</v>
      </c>
      <c r="B21">
        <v>164.04</v>
      </c>
      <c r="C21">
        <v>217.49</v>
      </c>
    </row>
    <row r="22" spans="1:3" x14ac:dyDescent="0.25">
      <c r="A22">
        <v>500</v>
      </c>
      <c r="B22">
        <v>179.74</v>
      </c>
      <c r="C22">
        <v>241.64</v>
      </c>
    </row>
    <row r="23" spans="1:3" x14ac:dyDescent="0.25">
      <c r="A23">
        <v>600</v>
      </c>
      <c r="B23">
        <v>214.16</v>
      </c>
      <c r="C23">
        <v>289.97000000000003</v>
      </c>
    </row>
    <row r="24" spans="1:3" x14ac:dyDescent="0.25">
      <c r="A24">
        <v>700</v>
      </c>
      <c r="B24">
        <v>248.1</v>
      </c>
      <c r="C24">
        <v>326.20999999999998</v>
      </c>
    </row>
    <row r="25" spans="1:3" x14ac:dyDescent="0.25">
      <c r="A25">
        <v>800</v>
      </c>
      <c r="B25">
        <v>269.54000000000002</v>
      </c>
      <c r="C25">
        <v>372.83</v>
      </c>
    </row>
    <row r="26" spans="1:3" x14ac:dyDescent="0.25">
      <c r="A26">
        <v>900</v>
      </c>
      <c r="B26">
        <v>301.02</v>
      </c>
      <c r="C26">
        <v>421.61</v>
      </c>
    </row>
    <row r="27" spans="1:3" x14ac:dyDescent="0.25">
      <c r="A27">
        <v>1000</v>
      </c>
      <c r="B27">
        <v>331.06</v>
      </c>
      <c r="C27">
        <v>472.94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/>
  </sheetViews>
  <sheetFormatPr baseColWidth="10" defaultColWidth="9.140625" defaultRowHeight="15" x14ac:dyDescent="0.25"/>
  <cols>
    <col min="1" max="1" width="15" customWidth="1"/>
    <col min="2" max="2" width="18" customWidth="1"/>
    <col min="3" max="3" width="15" customWidth="1"/>
    <col min="4" max="4" width="16" customWidth="1"/>
    <col min="5" max="5" width="20" customWidth="1"/>
  </cols>
  <sheetData>
    <row r="1" spans="1:5" x14ac:dyDescent="0.25">
      <c r="A1" s="8" t="s">
        <v>128</v>
      </c>
      <c r="B1" s="8" t="s">
        <v>138</v>
      </c>
      <c r="C1" s="8" t="s">
        <v>139</v>
      </c>
      <c r="D1" s="8" t="s">
        <v>140</v>
      </c>
      <c r="E1" s="8" t="s">
        <v>141</v>
      </c>
    </row>
    <row r="2" spans="1:5" x14ac:dyDescent="0.25">
      <c r="A2">
        <v>5</v>
      </c>
      <c r="B2">
        <v>50.98</v>
      </c>
      <c r="C2">
        <v>120.13</v>
      </c>
      <c r="D2">
        <v>10.6</v>
      </c>
      <c r="E2">
        <v>23.65</v>
      </c>
    </row>
    <row r="3" spans="1:5" x14ac:dyDescent="0.25">
      <c r="A3">
        <v>10</v>
      </c>
      <c r="B3">
        <v>54.46</v>
      </c>
      <c r="C3">
        <v>125.51</v>
      </c>
      <c r="D3">
        <v>11.36</v>
      </c>
      <c r="E3">
        <v>24.9</v>
      </c>
    </row>
    <row r="4" spans="1:5" x14ac:dyDescent="0.25">
      <c r="A4">
        <v>20</v>
      </c>
      <c r="B4">
        <v>78.33</v>
      </c>
      <c r="C4">
        <v>167.61</v>
      </c>
      <c r="D4">
        <v>13.9</v>
      </c>
      <c r="E4">
        <v>25.63</v>
      </c>
    </row>
    <row r="5" spans="1:5" x14ac:dyDescent="0.25">
      <c r="A5">
        <v>30</v>
      </c>
      <c r="B5">
        <v>101.51</v>
      </c>
      <c r="C5">
        <v>218.67</v>
      </c>
      <c r="D5">
        <v>16.329999999999998</v>
      </c>
      <c r="E5">
        <v>28.06</v>
      </c>
    </row>
    <row r="6" spans="1:5" x14ac:dyDescent="0.25">
      <c r="A6">
        <v>40</v>
      </c>
      <c r="B6">
        <v>123.39</v>
      </c>
      <c r="C6">
        <v>264.33</v>
      </c>
      <c r="D6">
        <v>19.46</v>
      </c>
      <c r="E6">
        <v>30.8</v>
      </c>
    </row>
    <row r="7" spans="1:5" x14ac:dyDescent="0.25">
      <c r="A7">
        <v>50</v>
      </c>
      <c r="B7">
        <v>141.19</v>
      </c>
      <c r="C7">
        <v>331.94</v>
      </c>
      <c r="D7">
        <v>22.37</v>
      </c>
      <c r="E7">
        <v>33.18</v>
      </c>
    </row>
    <row r="8" spans="1:5" x14ac:dyDescent="0.25">
      <c r="A8">
        <v>60</v>
      </c>
      <c r="B8">
        <v>159.19999999999999</v>
      </c>
      <c r="C8">
        <v>396.5</v>
      </c>
      <c r="D8">
        <v>22.99</v>
      </c>
      <c r="E8">
        <v>35.700000000000003</v>
      </c>
    </row>
    <row r="9" spans="1:5" x14ac:dyDescent="0.25">
      <c r="A9">
        <v>70</v>
      </c>
      <c r="B9">
        <v>177.19</v>
      </c>
      <c r="C9">
        <v>448.2</v>
      </c>
      <c r="D9">
        <v>25.8</v>
      </c>
      <c r="E9">
        <v>38.119999999999997</v>
      </c>
    </row>
    <row r="10" spans="1:5" x14ac:dyDescent="0.25">
      <c r="A10">
        <v>80</v>
      </c>
      <c r="B10">
        <v>195.26</v>
      </c>
      <c r="C10">
        <v>495.53</v>
      </c>
      <c r="D10">
        <v>28</v>
      </c>
      <c r="E10">
        <v>40.6</v>
      </c>
    </row>
    <row r="11" spans="1:5" x14ac:dyDescent="0.25">
      <c r="A11">
        <v>90</v>
      </c>
      <c r="B11">
        <v>212.36</v>
      </c>
      <c r="C11">
        <v>547.37</v>
      </c>
      <c r="D11">
        <v>31.34</v>
      </c>
      <c r="E11">
        <v>43</v>
      </c>
    </row>
    <row r="12" spans="1:5" x14ac:dyDescent="0.25">
      <c r="A12">
        <v>100</v>
      </c>
      <c r="B12">
        <v>231.25</v>
      </c>
      <c r="C12">
        <v>592.48</v>
      </c>
      <c r="D12">
        <v>34.6</v>
      </c>
      <c r="E12">
        <v>45.47</v>
      </c>
    </row>
    <row r="13" spans="1:5" x14ac:dyDescent="0.25">
      <c r="A13">
        <v>125</v>
      </c>
      <c r="B13">
        <v>247.89</v>
      </c>
      <c r="C13">
        <v>707.55</v>
      </c>
      <c r="D13">
        <v>38.770000000000003</v>
      </c>
      <c r="E13">
        <v>46.12</v>
      </c>
    </row>
    <row r="14" spans="1:5" x14ac:dyDescent="0.25">
      <c r="A14">
        <v>150</v>
      </c>
      <c r="B14">
        <v>297.48</v>
      </c>
      <c r="C14">
        <v>849.15</v>
      </c>
      <c r="D14">
        <v>46.88</v>
      </c>
      <c r="E14">
        <v>55.38</v>
      </c>
    </row>
    <row r="15" spans="1:5" x14ac:dyDescent="0.25">
      <c r="A15">
        <v>175</v>
      </c>
      <c r="B15">
        <v>359.13</v>
      </c>
      <c r="C15">
        <v>1025.28</v>
      </c>
      <c r="D15">
        <v>53.14</v>
      </c>
      <c r="E15">
        <v>66.83</v>
      </c>
    </row>
    <row r="16" spans="1:5" x14ac:dyDescent="0.25">
      <c r="A16">
        <v>200</v>
      </c>
      <c r="B16">
        <v>401.88</v>
      </c>
      <c r="C16">
        <v>1171.74</v>
      </c>
      <c r="D16">
        <v>61.09</v>
      </c>
      <c r="E16">
        <v>76.44</v>
      </c>
    </row>
    <row r="17" spans="1:5" x14ac:dyDescent="0.25">
      <c r="A17">
        <v>250</v>
      </c>
      <c r="B17">
        <v>438.86</v>
      </c>
      <c r="C17">
        <v>1404</v>
      </c>
      <c r="D17">
        <v>68.430000000000007</v>
      </c>
      <c r="E17">
        <v>85.95</v>
      </c>
    </row>
    <row r="18" spans="1:5" x14ac:dyDescent="0.25">
      <c r="A18">
        <v>300</v>
      </c>
      <c r="B18">
        <v>475.79</v>
      </c>
      <c r="C18">
        <v>1684.81</v>
      </c>
      <c r="D18">
        <v>74.510000000000005</v>
      </c>
      <c r="E18">
        <v>103.15</v>
      </c>
    </row>
    <row r="19" spans="1:5" x14ac:dyDescent="0.25">
      <c r="A19">
        <v>350</v>
      </c>
      <c r="B19">
        <v>555.09</v>
      </c>
      <c r="C19">
        <v>1965.57</v>
      </c>
      <c r="D19">
        <v>82.08</v>
      </c>
      <c r="E19">
        <v>120.28</v>
      </c>
    </row>
    <row r="20" spans="1:5" x14ac:dyDescent="0.25">
      <c r="A20">
        <v>400</v>
      </c>
      <c r="B20">
        <v>634.29</v>
      </c>
      <c r="C20">
        <v>2246.37</v>
      </c>
      <c r="D20">
        <v>89.09</v>
      </c>
      <c r="E20">
        <v>137.51</v>
      </c>
    </row>
    <row r="21" spans="1:5" x14ac:dyDescent="0.25">
      <c r="A21">
        <v>450</v>
      </c>
      <c r="B21">
        <v>713.68</v>
      </c>
      <c r="C21">
        <v>2527.17</v>
      </c>
      <c r="D21">
        <v>95.88</v>
      </c>
      <c r="E21">
        <v>154.68</v>
      </c>
    </row>
    <row r="22" spans="1:5" x14ac:dyDescent="0.25">
      <c r="A22">
        <v>500</v>
      </c>
      <c r="B22">
        <v>792.96</v>
      </c>
      <c r="C22">
        <v>2807.96</v>
      </c>
      <c r="D22">
        <v>102.66</v>
      </c>
      <c r="E22">
        <v>171.9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Simulador Península</vt:lpstr>
      <vt:lpstr>Simulador Canarias</vt:lpstr>
      <vt:lpstr>Zonas_Logistica</vt:lpstr>
      <vt:lpstr>Tarifas_CBL</vt:lpstr>
      <vt:lpstr>Tarifas_DHL</vt:lpstr>
      <vt:lpstr>Tarifas_TIPSA</vt:lpstr>
      <vt:lpstr>Tarifas_CBL_Canarias</vt:lpstr>
      <vt:lpstr>Tarifas_DHL_Canarias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Sevilla</cp:lastModifiedBy>
  <dcterms:created xsi:type="dcterms:W3CDTF">2026-06-17T14:56:18Z</dcterms:created>
  <dcterms:modified xsi:type="dcterms:W3CDTF">2026-10-09T11:01:39Z</dcterms:modified>
</cp:coreProperties>
</file>